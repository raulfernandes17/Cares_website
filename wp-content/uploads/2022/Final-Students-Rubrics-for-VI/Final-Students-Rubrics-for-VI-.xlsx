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-LP-1" sheetId="1" r:id="rId4"/>
    <sheet state="visible" name="VI-LP-2" sheetId="2" r:id="rId5"/>
    <sheet state="visible" name="VI-LP-3" sheetId="3" r:id="rId6"/>
    <sheet state="visible" name="VI-LP-4" sheetId="4" r:id="rId7"/>
    <sheet state="visible" name="VI-LP-5" sheetId="5" r:id="rId8"/>
    <sheet state="visible" name="VI-LP-6" sheetId="6" r:id="rId9"/>
    <sheet state="visible" name="VI-LP-7" sheetId="7" r:id="rId10"/>
    <sheet state="visible" name="VI-LP-8" sheetId="8" r:id="rId11"/>
    <sheet state="visible" name="VI-LP-9" sheetId="9" r:id="rId12"/>
    <sheet state="visible" name="VI-LP-10" sheetId="10" r:id="rId13"/>
    <sheet state="visible" name="VI-LP-11" sheetId="11" r:id="rId14"/>
    <sheet state="visible" name="VI-LP-12" sheetId="12" r:id="rId15"/>
    <sheet state="visible" name="VI-LP-13" sheetId="13" r:id="rId16"/>
    <sheet state="visible" name="VI-LP-14" sheetId="14" r:id="rId17"/>
    <sheet state="visible" name="VI-LP-15" sheetId="15" r:id="rId18"/>
    <sheet state="visible" name="VI-LP-16" sheetId="16" r:id="rId19"/>
    <sheet state="visible" name="VI-LP-17" sheetId="17" r:id="rId20"/>
    <sheet state="visible" name="VI-LP-18" sheetId="18" r:id="rId21"/>
    <sheet state="visible" name="VI-LP-19" sheetId="19" r:id="rId22"/>
    <sheet state="visible" name="VI-LP-20" sheetId="20" r:id="rId23"/>
    <sheet state="visible" name="VI-LP-21" sheetId="21" r:id="rId24"/>
    <sheet state="visible" name="VI-LP-22" sheetId="22" r:id="rId25"/>
    <sheet state="visible" name="VI-LP-23" sheetId="23" r:id="rId26"/>
    <sheet state="visible" name="VI-LP-24" sheetId="24" r:id="rId27"/>
    <sheet state="visible" name="VI-LP-25" sheetId="25" r:id="rId28"/>
    <sheet state="visible" name="VI-LP-26" sheetId="26" r:id="rId29"/>
    <sheet state="visible" name="VI-LP-27" sheetId="27" r:id="rId30"/>
    <sheet state="visible" name="VI-LP-28" sheetId="28" r:id="rId31"/>
    <sheet state="visible" name="VI-LP-29" sheetId="29" r:id="rId32"/>
    <sheet state="visible" name="VI-LP-30" sheetId="30" r:id="rId33"/>
    <sheet state="visible" name="VI-LP-31" sheetId="31" r:id="rId34"/>
    <sheet state="visible" name="VI-LP-32" sheetId="32" r:id="rId35"/>
    <sheet state="visible" name="Annual Grade" sheetId="33" r:id="rId36"/>
    <sheet state="visible" name="Grading Pattern" sheetId="34" r:id="rId37"/>
  </sheets>
  <definedNames/>
  <calcPr/>
</workbook>
</file>

<file path=xl/sharedStrings.xml><?xml version="1.0" encoding="utf-8"?>
<sst xmlns="http://schemas.openxmlformats.org/spreadsheetml/2006/main" count="1979" uniqueCount="364">
  <si>
    <t>Week 1</t>
  </si>
  <si>
    <t>Introduction to RPi/Linux Operating System</t>
  </si>
  <si>
    <t>Annexure II</t>
  </si>
  <si>
    <t>Evaluation Rubrics</t>
  </si>
  <si>
    <t>Assessment Skill</t>
  </si>
  <si>
    <t>Roll No</t>
  </si>
  <si>
    <t>Name of the Student</t>
  </si>
  <si>
    <t>Discovery</t>
  </si>
  <si>
    <t>Understanding/ Problem Solving</t>
  </si>
  <si>
    <t>Completion of Tasks</t>
  </si>
  <si>
    <t>Interest/Motivation</t>
  </si>
  <si>
    <t>Team Work</t>
  </si>
  <si>
    <t>LP-1</t>
  </si>
  <si>
    <t>Beginner     (25%)</t>
  </si>
  <si>
    <t>Needs Improvement (50%)</t>
  </si>
  <si>
    <t>Comfortable (75%)</t>
  </si>
  <si>
    <t>Skilled      (100%)</t>
  </si>
  <si>
    <t>Beginner    (25%)</t>
  </si>
  <si>
    <t>The student can identify some of the components of a computer</t>
  </si>
  <si>
    <t>The student can identify all the components of a computer but needs help in understanding their/its purpose</t>
  </si>
  <si>
    <t>The student can identify some of the components of a computer and explain at least half of them</t>
  </si>
  <si>
    <t>The studentt can identify and explains the purpose of all the components of a computer</t>
  </si>
  <si>
    <t>The student 
can identify 
how to start, but not shut down, or open 
programs.</t>
  </si>
  <si>
    <t>The student 
can identify few steps to start/ shut down the computer but needs help in understanding how to open 
programs.</t>
  </si>
  <si>
    <t>The student 
can identify 
how to start, 
shutdown, open programs but needs help to open CLI.</t>
  </si>
  <si>
    <t>The student 
can start, 
shutdown, and open any 
programs on 
the computer using CLI /GUI.</t>
  </si>
  <si>
    <t>The student 
finds it 
challenging to complete a 
task.</t>
  </si>
  <si>
    <t>The student 
attempts the 
task but 
completes a 
minor portion of the task 
assigned.</t>
  </si>
  <si>
    <t>The student 
attempts the 
task and 
completes most of it.</t>
  </si>
  <si>
    <t>The student 
attempts the 
task and 
completes the entire task 
confidently.</t>
  </si>
  <si>
    <t>The student shows a lack of interest in the session</t>
  </si>
  <si>
    <t>The student is keen on learning the GUI however fears completing the task on his/her own.</t>
  </si>
  <si>
    <t>The student shows interest in the completion of the assigned task, however, is less motivated to explore
 independently.</t>
  </si>
  <si>
    <t>The student is confident and motivated to explore applications independently.</t>
  </si>
  <si>
    <t>The student was a passive member of the team.</t>
  </si>
  <si>
    <t>The student was considering all the opinions of the peer team members .</t>
  </si>
  <si>
    <t>The student was able to filter and go ahead with the right opinion provided by the teammates.</t>
  </si>
  <si>
    <t>The student completed his/her work and also helped other team members by solving their difficulties wherever possible.</t>
  </si>
  <si>
    <t>Total/5</t>
  </si>
  <si>
    <t>Grand Total/25</t>
  </si>
  <si>
    <t>Grade</t>
  </si>
  <si>
    <t>Week 2</t>
  </si>
  <si>
    <t>Introduction to RPi/Linux Operating System (Command Line Tour)</t>
  </si>
  <si>
    <t>LP-2</t>
  </si>
  <si>
    <t>It was 
challenging for the student to write the correct syntax for 
commands and execute the 
commands.</t>
  </si>
  <si>
    <t>The student 
was able to 
write the syntax for few 
commands .</t>
  </si>
  <si>
    <t>The student 
was able to 
write the syntax for some of the commands and 
execute them too.</t>
  </si>
  <si>
    <t>The student 
was not only 
able to write the syntax for all 
the given 
commands but also explored new commands in Linux.</t>
  </si>
  <si>
    <t>The student 
found it a 
challenge to 
understand the working of the commands.</t>
  </si>
  <si>
    <t>The student 
partially 
understood the working of a 
few commands</t>
  </si>
  <si>
    <t>The student 
could 
understand and partially explain the commands.</t>
  </si>
  <si>
    <t>The student 
was quick to 
understand the commands and could explain the same with clarity.</t>
  </si>
  <si>
    <t>The student 
could not 
execute any 
command.</t>
  </si>
  <si>
    <t>The student 
could execute some of the 
commands.</t>
  </si>
  <si>
    <t>The student 
could execute all the 
commands.</t>
  </si>
  <si>
    <t>The student 
could execute these 
commands and tried some new.</t>
  </si>
  <si>
    <t>The student 
showed very 
little interest in the activity.</t>
  </si>
  <si>
    <r>
      <rPr>
        <rFont val="Arial"/>
        <color rgb="FF000000"/>
        <sz val="12.0"/>
      </rPr>
      <t xml:space="preserve">The student 
displayed/ </t>
    </r>
    <r>
      <rPr>
        <rFont val="Arial"/>
        <color rgb="FF000000"/>
        <sz val="12.0"/>
      </rPr>
      <t>showed</t>
    </r>
    <r>
      <rPr>
        <rFont val="Arial"/>
        <color rgb="FF000000"/>
        <sz val="12.0"/>
      </rPr>
      <t xml:space="preserve"> a fair interest in the activity.</t>
    </r>
  </si>
  <si>
    <t>The student 
participated in the activity with interest.</t>
  </si>
  <si>
    <t>The student 
was excited 
about 
performing the activity.</t>
  </si>
  <si>
    <t>Week 3</t>
  </si>
  <si>
    <t>Fun with Cat Sprite - Bouncing Cat</t>
  </si>
  <si>
    <t>Understanding/ Problem</t>
  </si>
  <si>
    <t>LP-3</t>
  </si>
  <si>
    <r>
      <rPr>
        <rFont val="Arial"/>
        <color rgb="FF000000"/>
        <sz val="12.0"/>
      </rPr>
      <t xml:space="preserve">It was a challenge for the student to find the </t>
    </r>
    <r>
      <rPr>
        <rFont val="Arial"/>
        <color rgb="FF000000"/>
        <sz val="12.0"/>
      </rPr>
      <t>appropriate</t>
    </r>
    <r>
      <rPr>
        <rFont val="Arial"/>
        <color rgb="FF000000"/>
        <sz val="12.0"/>
      </rPr>
      <t xml:space="preserve"> blocks in the palette. 
</t>
    </r>
  </si>
  <si>
    <t>The student was able to find some blocks, however required help for discovering the others.</t>
  </si>
  <si>
    <t>The student found all the required blocks without any difficulty.</t>
  </si>
  <si>
    <t>The student was not only able to discover all the blocks in the palette but also explored other blocks in the palette.</t>
  </si>
  <si>
    <t>The student found it a challenge to understand the task</t>
  </si>
  <si>
    <t>The student partially understood the task.</t>
  </si>
  <si>
    <t>The student could understand and explain the task partially.</t>
  </si>
  <si>
    <t>The student was quick to understand the task and could explain the same with clarity.</t>
  </si>
  <si>
    <t>The student could not get a solution within the given time.</t>
  </si>
  <si>
    <t>The student struggled to get a solution for the first task.</t>
  </si>
  <si>
    <t>The student got a solution for the first task but struggled a bit with further tasks.</t>
  </si>
  <si>
    <t>The student could get the solution for most of the tasks easily and also tried some tasks of his/her own.</t>
  </si>
  <si>
    <t>The student showed very little interest in the activity.</t>
  </si>
  <si>
    <t>The student displayed a fair bit of interest in the activity.</t>
  </si>
  <si>
    <t>The student participated in the activity with interest.</t>
  </si>
  <si>
    <t>The student was excited about performing the activity.</t>
  </si>
  <si>
    <t>Week 4</t>
  </si>
  <si>
    <t>Fun with Cat Sprite - Controlling the Cat</t>
  </si>
  <si>
    <t>LP-4</t>
  </si>
  <si>
    <t>It was a 
challenge for 
the student to find the blocks in the palette.</t>
  </si>
  <si>
    <t>The student 
was able to find some blocks, however, 
required help for discovering the others.</t>
  </si>
  <si>
    <t>The student 
found all the 
required blocks without any 
difficulty.</t>
  </si>
  <si>
    <t>The student 
was not only 
able to discover all the blocks in the palette but also explored other blocks in the palette.</t>
  </si>
  <si>
    <t>The student 
found it a 
challenge to 
understand the task.</t>
  </si>
  <si>
    <t>The student 
partially 
understood the task.</t>
  </si>
  <si>
    <t>The student 
could 
understand and partially explain the task.</t>
  </si>
  <si>
    <t>The student 
was quick to 
understand the task and could explain the 
same with 
clarity.</t>
  </si>
  <si>
    <t>The student 
could not get a solution within the given time.</t>
  </si>
  <si>
    <t>The student 
struggled to get a solution for the first task.</t>
  </si>
  <si>
    <t>The student got a solution for the first task but struggled with further tasks.</t>
  </si>
  <si>
    <t>The student 
could get the 
solution for 
most of the 
tasks and also experimented new tasks.</t>
  </si>
  <si>
    <t>The student 
displayed fair bit of interest in the activity.</t>
  </si>
  <si>
    <t>The student was considering all the opinions of the team members.</t>
  </si>
  <si>
    <t>The student was able to filter and go ahead with the right opinion provided by the teammates</t>
  </si>
  <si>
    <t>The student completed his/her work and also helped others team members by solving their difficulties wherever possible.</t>
  </si>
  <si>
    <t>Week 5</t>
  </si>
  <si>
    <t>Fun with Cat Sprite - Chasing the Mouse</t>
  </si>
  <si>
    <t>LP-5</t>
  </si>
  <si>
    <t>The student 
could get the 
solution for 
most of the 
tasks easily and also experimented new tasks.</t>
  </si>
  <si>
    <t>The student 
displayed a fair bit of interest in the activity.</t>
  </si>
  <si>
    <t>Week 6</t>
  </si>
  <si>
    <t>Fun with Cat Sprite - Cat Annimation</t>
  </si>
  <si>
    <t>LP-6</t>
  </si>
  <si>
    <t>The student 
could get the 
solution for 
most of the 
tasks easily and experimented new tasks.</t>
  </si>
  <si>
    <t>Week 7</t>
  </si>
  <si>
    <t>Fun with Cat Sprite - Sound</t>
  </si>
  <si>
    <t>LP-7</t>
  </si>
  <si>
    <t>It was a 
challenge for 
the student to find and use the sound blocks from the 
palette.</t>
  </si>
  <si>
    <t>The student 
was able to find some sound 
blocks, 
however 
required help for discovering others.</t>
  </si>
  <si>
    <t>The student 
found all the 
required sound blocks without any difficulty.</t>
  </si>
  <si>
    <t>The student 
was not only 
able to discover all the sound 
blocks in the 
palette but also explored other musical notes in the sound 
extension 
palette.</t>
  </si>
  <si>
    <t>The student found it a challenge to
understand the task.</t>
  </si>
  <si>
    <t>The student could understand and partially explain the task.</t>
  </si>
  <si>
    <t>The student could get the solution for most of the tasks easily and experimented new tasks.</t>
  </si>
  <si>
    <t>Week 8</t>
  </si>
  <si>
    <t>Worksheet and Exercise</t>
  </si>
  <si>
    <t>LP-8</t>
  </si>
  <si>
    <t>It was a 
challenge for 
the student to find and use the various blocks required from the 
palette.</t>
  </si>
  <si>
    <t>The student 
was able to find some 
blocks, 
however 
required help for discovering others.</t>
  </si>
  <si>
    <t>The student 
found all the 
required blocks without any difficulty.</t>
  </si>
  <si>
    <t>The student 
was not only 
able to discover all the 
blocks in the 
palette but also explored other blocks like musical notes in the sound 
extension 
palette.</t>
  </si>
  <si>
    <t>The student could get the solution for most of the tasks easily and also  experimented new tasks.</t>
  </si>
  <si>
    <t>Week 9</t>
  </si>
  <si>
    <t>Shapes/Drawing - Square</t>
  </si>
  <si>
    <t>LP-9</t>
  </si>
  <si>
    <t>It was a 
challenge for 
the student to find the appropriate blocks in the palette.</t>
  </si>
  <si>
    <t>Week 10</t>
  </si>
  <si>
    <t>Shapes/Drawing - Square Based Pattern</t>
  </si>
  <si>
    <t>LP-10</t>
  </si>
  <si>
    <t>Week 11</t>
  </si>
  <si>
    <t>Shapes/Drawing - Using Blocks to create Shapes of various sizes</t>
  </si>
  <si>
    <t>LP-11</t>
  </si>
  <si>
    <t xml:space="preserve">The student 
was able to find 
some blocks, 
however 
required help 
for discovering 
others.
</t>
  </si>
  <si>
    <t>The student 
was not only 
able to discover all the blocks in the palette but also explored other blocks.</t>
  </si>
  <si>
    <t>Week 12</t>
  </si>
  <si>
    <t>Shapes/Drawing - Drawing Polygon of 'n' Sides</t>
  </si>
  <si>
    <t>LP-12</t>
  </si>
  <si>
    <t>Week 13</t>
  </si>
  <si>
    <t>Shapes/Drawing - Drawing Circles</t>
  </si>
  <si>
    <t>LP-13</t>
  </si>
  <si>
    <t>The student stroggled to get a solution the first task.</t>
  </si>
  <si>
    <t>The student got a solution for the first tasks but struggled a bit with further task.</t>
  </si>
  <si>
    <t>Week 14</t>
  </si>
  <si>
    <t>Creativity</t>
  </si>
  <si>
    <t>LP-14</t>
  </si>
  <si>
    <t>The student 
could not 
identify and 
draw the 
different shapes involved in 
drawing a face.</t>
  </si>
  <si>
    <t>The student 
could draw the basic shapes but had 
difficulty in 
using blocks.</t>
  </si>
  <si>
    <t>The student 
could draw the faces 
successfully as expected.</t>
  </si>
  <si>
    <t>The student 
could identify different 
applications of basic concepts used in the 
given task.</t>
  </si>
  <si>
    <t>The student did not understand the given 
problem.</t>
  </si>
  <si>
    <t>The student 
could 
understand the coordinate well with the 
system, and 
use it for 
drawing the 
faces.</t>
  </si>
  <si>
    <t>The student 
had a difficulty in inverting the images.</t>
  </si>
  <si>
    <t>The student 
could 
understand and apply the 
concepts in 
finding solution to a problem.</t>
  </si>
  <si>
    <t>The student 
couldn't 
complete the 
task.</t>
  </si>
  <si>
    <t>The student 
could only 
complete the 
task partially.</t>
  </si>
  <si>
    <t>The student 
completed the given task, but not at the given time.</t>
  </si>
  <si>
    <t>The student 
completed the task as per the given dead lines</t>
  </si>
  <si>
    <t>Little or no 
evidence of 
original thought.</t>
  </si>
  <si>
    <t>The student’s work lacked 
originality.</t>
  </si>
  <si>
    <t>The student’s work showed that student 
applied the 
principle 
concepts 
discussed in 
class 
adequately.</t>
  </si>
  <si>
    <t>The student’s work 
demonstrates a unique level of originality and creativity.</t>
  </si>
  <si>
    <t>Week 15</t>
  </si>
  <si>
    <t>LP-15</t>
  </si>
  <si>
    <t>Week 16</t>
  </si>
  <si>
    <t>Shapes/Drawing - Circle based pattern</t>
  </si>
  <si>
    <t>LP-16</t>
  </si>
  <si>
    <t>Week 17</t>
  </si>
  <si>
    <t>Science - Solar Orbits</t>
  </si>
  <si>
    <t>LP-17</t>
  </si>
  <si>
    <t>Week 18</t>
  </si>
  <si>
    <t>Science - Lunar Orbits</t>
  </si>
  <si>
    <t>LP-18</t>
  </si>
  <si>
    <t>Week 19</t>
  </si>
  <si>
    <t>Science - Simulating Gravity</t>
  </si>
  <si>
    <t>Completion Of Tasks</t>
  </si>
  <si>
    <t>LP-19</t>
  </si>
  <si>
    <t>Week 20</t>
  </si>
  <si>
    <t>Science - Directional Force</t>
  </si>
  <si>
    <t>LP-20</t>
  </si>
  <si>
    <t>Week 21</t>
  </si>
  <si>
    <t>Shapes/Drawing - Arc Based Pattern</t>
  </si>
  <si>
    <t>Understanding/Problem Solving</t>
  </si>
  <si>
    <t>LP-21</t>
  </si>
  <si>
    <t>Week 22</t>
  </si>
  <si>
    <t>Shapes/Drawing - Introduction to Random</t>
  </si>
  <si>
    <t>LP-22</t>
  </si>
  <si>
    <t>Week 23</t>
  </si>
  <si>
    <t>Shapes/Drawing- Moon Lander</t>
  </si>
  <si>
    <t>LP-23</t>
  </si>
  <si>
    <t>Week 24</t>
  </si>
  <si>
    <t>LP-24</t>
  </si>
  <si>
    <t>Week 25</t>
  </si>
  <si>
    <t>GIMP - Layer and Blend Modes</t>
  </si>
  <si>
    <t>LP-25</t>
  </si>
  <si>
    <t>It was challenging for the student to find the menu options and tools to be used for the task.</t>
  </si>
  <si>
    <t>The student could find the menu options and tools but struggled to use them.</t>
  </si>
  <si>
    <r>
      <rPr>
        <rFont val="Arial, sans-serif"/>
        <color theme="1"/>
        <sz val="12.0"/>
      </rPr>
      <t xml:space="preserve">The student could do the given activity and also explain the use of </t>
    </r>
    <r>
      <rPr>
        <rFont val="Arial, sans-serif"/>
        <color theme="1"/>
        <sz val="12.0"/>
      </rPr>
      <t>the</t>
    </r>
    <r>
      <rPr>
        <rFont val="Arial, sans-serif"/>
        <color theme="1"/>
        <sz val="12.0"/>
      </rPr>
      <t xml:space="preserve"> tools.</t>
    </r>
  </si>
  <si>
    <t>The student could finish the task with complete understanding and explore other ways of using the learning.</t>
  </si>
  <si>
    <t>The student found it a challenge to understand the tasks and the rationale behind it.</t>
  </si>
  <si>
    <t>The student could understand the task, however was not interested in the rationale behind the task.</t>
  </si>
  <si>
    <t>The student could understand the task with inquisitiveness, to understand the rationale behind the given task.</t>
  </si>
  <si>
    <t>The student could understand the task and also asked appropriate questions to understand the rationale behind the task.</t>
  </si>
  <si>
    <t>The student could not complete the task.</t>
  </si>
  <si>
    <t>The student could complete the task.but with the help of other students or instructor.</t>
  </si>
  <si>
    <t>The student could complete the task.</t>
  </si>
  <si>
    <t>The student could complete the task and also tried to use it on other images and a mix of images.</t>
  </si>
  <si>
    <t>The student displayed disinterest in working with GIMP.</t>
  </si>
  <si>
    <t>The student initially displayed disinterest looking at the interface of GIMP, however by the end of the session the student displayed some signs of engagement.</t>
  </si>
  <si>
    <t>The student was confident in using GIMP and was highly motivated to learn a new software.</t>
  </si>
  <si>
    <t>The student had previous exposure to GIMP, and was comfortable in using the same and also helped others in the team.</t>
  </si>
  <si>
    <t>The student find it a challange to work in a team.</t>
  </si>
  <si>
    <t>The student makes an effort to work in a team.</t>
  </si>
  <si>
    <t>The student works comfortably in a team but sometimes has some reservations.</t>
  </si>
  <si>
    <t>The student is a natural team player.</t>
  </si>
  <si>
    <t>Week 26</t>
  </si>
  <si>
    <t>GIMP - Keying and Masking</t>
  </si>
  <si>
    <t>Compositing</t>
  </si>
  <si>
    <t>Inquisitive</t>
  </si>
  <si>
    <t>LP-26</t>
  </si>
  <si>
    <t>It was challenging for the student to type and position the text.</t>
  </si>
  <si>
    <t>The student could find the text tool and type the text with the help from a fellow student or an instructor.</t>
  </si>
  <si>
    <t>The student could find the text tool and type the text however, the student was not comfortable with editing and positioning the text.</t>
  </si>
  <si>
    <t>The student could type, position &amp; edit the text with ease.</t>
  </si>
  <si>
    <t>The student found it a difficult to understand the use of masks in composition.</t>
  </si>
  <si>
    <t>The student could create the mask, but was not able to explain how it was done.</t>
  </si>
  <si>
    <t>The student could create the mask, and also explain how it was done.</t>
  </si>
  <si>
    <t>The student could comfortably create the mask, and also explain the process. The student was also able to understand the requirement of masking.</t>
  </si>
  <si>
    <t>The student displayed no motivation to use GIMP.</t>
  </si>
  <si>
    <t>The student had initial reservations about GIMP. The student however displayed some interest after using it for some time.</t>
  </si>
  <si>
    <t>The student had some initial hiccups, but takes special efforts to learn features in GIMP.</t>
  </si>
  <si>
    <t>The student was fully comfortable and was interested to use the GIMP and knows about different ways of operating it.</t>
  </si>
  <si>
    <t>The student used GIMP to work on the assigned task.</t>
  </si>
  <si>
    <t>The student worked on the task and had some queries regarding the use of masking in a composition.</t>
  </si>
  <si>
    <t>The student showed interest in knowing how the mask works.</t>
  </si>
  <si>
    <t xml:space="preserve">The student showed keen interest to understand the math behind masking and its use in non distructive editing. </t>
  </si>
  <si>
    <t>Week 27</t>
  </si>
  <si>
    <t>GIMP - Creating Scene</t>
  </si>
  <si>
    <t>LP-27</t>
  </si>
  <si>
    <t>It was challenging for the student to open the given shape files in layers.</t>
  </si>
  <si>
    <t>The student could open the file in layers after taking help from a fellow students or instructor.</t>
  </si>
  <si>
    <t>The student could open the file in layers but found it a challenge to  perform other image manipulating operations.</t>
  </si>
  <si>
    <t>The student could manage the layers and could complete the given task with the help of image manupilation operatios.</t>
  </si>
  <si>
    <t xml:space="preserve">The student was finding it difficult to visualise how the blocks could be used in a composition        </t>
  </si>
  <si>
    <t>The Student could visualise the composition but required help in the transformations to achieve the same</t>
  </si>
  <si>
    <t>The Student could not only visualise the basic composition but could achieve the same. However the student could not enhance the composition.</t>
  </si>
  <si>
    <t>The Student could comfortably visualise and complete the task. The student was also able to enhance the composition.</t>
  </si>
  <si>
    <t>Week 28</t>
  </si>
  <si>
    <t xml:space="preserve">Task Understanding </t>
  </si>
  <si>
    <t>Work &amp; Time Management</t>
  </si>
  <si>
    <t>LP-28</t>
  </si>
  <si>
    <t xml:space="preserve">The student was not able to visualise the task. </t>
  </si>
  <si>
    <t xml:space="preserve">The student could visualise the task but displayed lack of skill with the tool to achieve it. </t>
  </si>
  <si>
    <t xml:space="preserve">The student could visualise the task and had the skill to achieve it. </t>
  </si>
  <si>
    <t xml:space="preserve">The student could finish the task with complete understanding. The student used the knowledge and understanding of the previous task. </t>
  </si>
  <si>
    <t xml:space="preserve">The student found it challange to understand the task. </t>
  </si>
  <si>
    <t>The student could understand the task but required help to organise the work</t>
  </si>
  <si>
    <t>The student could understand the task but had queries regarding its implementation.</t>
  </si>
  <si>
    <t>The student understood and could comfortably complete the task.</t>
  </si>
  <si>
    <t>The student finds it as a challange to assign task priorities and time management.</t>
  </si>
  <si>
    <t>The student can assign task priorities but has a challange in time management.</t>
  </si>
  <si>
    <t>The student can assign task priorities and makes an effort to manage time.</t>
  </si>
  <si>
    <t>The student has displayed ability in both,  assigning task priorities and also managing time.</t>
  </si>
  <si>
    <t>Week 29</t>
  </si>
  <si>
    <t>Internet - Searching and Information</t>
  </si>
  <si>
    <t>Interest</t>
  </si>
  <si>
    <t>Understanding</t>
  </si>
  <si>
    <t>Completion of Task</t>
  </si>
  <si>
    <t>LP-29</t>
  </si>
  <si>
    <t>The student find it difficult to locate a browser and the search engine.</t>
  </si>
  <si>
    <t>The student tries to explore browser and the search engine and tries to type keywords.</t>
  </si>
  <si>
    <t xml:space="preserve">The student opens a browser and searches for the required information. </t>
  </si>
  <si>
    <t xml:space="preserve">The student is confident to open the browser and use the search engine. </t>
  </si>
  <si>
    <t>The student shows less interest.</t>
  </si>
  <si>
    <t>The student is developing interest to learn.</t>
  </si>
  <si>
    <t>The student is interested to learn and browse information.</t>
  </si>
  <si>
    <t xml:space="preserve">The student is confident to browse tools independently. </t>
  </si>
  <si>
    <t>The student finds it difficult to understand working of a search engine.</t>
  </si>
  <si>
    <t>The student is struggling to find the functions of different tools of a search engine.</t>
  </si>
  <si>
    <t>The student easily opens a search engine.</t>
  </si>
  <si>
    <t>The student confidently used browser to search, edit, create and share the information with others.</t>
  </si>
  <si>
    <t>The student finds it challanging to complete the task.</t>
  </si>
  <si>
    <t xml:space="preserve">The student is trying to search but faces difficulties. </t>
  </si>
  <si>
    <t>The student is easily able to complete the task.</t>
  </si>
  <si>
    <t>The student is confident to complete the task and help others.</t>
  </si>
  <si>
    <t>The student gets help from the team members to browse.</t>
  </si>
  <si>
    <t>The student is a natural team player and acts as a leader.</t>
  </si>
  <si>
    <t>s</t>
  </si>
  <si>
    <t>Week 30</t>
  </si>
  <si>
    <t>Internet - Collaboration (Working in Collaboration, Backup and Content sharing)</t>
  </si>
  <si>
    <t>LP-30</t>
  </si>
  <si>
    <t>The student found difficult to search the 'Drive'.</t>
  </si>
  <si>
    <t>The student tries to search the 'Drive' by exploring different parts of window.</t>
  </si>
  <si>
    <t>The student knows to open the 'Drive' and create files.</t>
  </si>
  <si>
    <t>The student knows to open the 'Drive' and create  folders &amp; files comfidently.</t>
  </si>
  <si>
    <t xml:space="preserve">The student found it a challenge to understand the task.
</t>
  </si>
  <si>
    <t>The student could understand and completes the task.</t>
  </si>
  <si>
    <t>The student was quick to understand the task and complete it with confidence.</t>
  </si>
  <si>
    <t>The student tries to solve the task yet finds it difficult.</t>
  </si>
  <si>
    <t xml:space="preserve"> The student completed the task easily.</t>
  </si>
  <si>
    <t>The student is confident of completing the task and helping others.</t>
  </si>
  <si>
    <t>The student shows less interest in the activity.</t>
  </si>
  <si>
    <t>The student tries to develop interest and start learning slowly.</t>
  </si>
  <si>
    <t>The student is interested in learning.</t>
  </si>
  <si>
    <t>The student is confident and learns independently.</t>
  </si>
  <si>
    <t>The student was a active member of the team.</t>
  </si>
  <si>
    <t>The student Works collaboratively with peers.</t>
  </si>
  <si>
    <t>Week 31</t>
  </si>
  <si>
    <t>Internet - Communication (Threaded/Channel communication)</t>
  </si>
  <si>
    <t>LP-31</t>
  </si>
  <si>
    <t>It was challanging for the student to open the tool and work.</t>
  </si>
  <si>
    <t>The student was able to open the Browser and the Drive however required help for opening the tool.</t>
  </si>
  <si>
    <t>The student can open the Drive as well as online Document.</t>
  </si>
  <si>
    <t>The student is able to open 'Chat' box and reply.</t>
  </si>
  <si>
    <t xml:space="preserve">The student found it a challenge to work with the 'comment' and 'suggest' sections.
</t>
  </si>
  <si>
    <t xml:space="preserve">The student could work with the 'comment' and 'suggest' sections but with the help.
</t>
  </si>
  <si>
    <t xml:space="preserve">The student can work with both 'comment' and 'suggest' sections and also used Chat option for communication.
</t>
  </si>
  <si>
    <t>The student was quick to use the 'comment' and 'suggest' sections and can use Chat option effectively.</t>
  </si>
  <si>
    <t>The student found it challanging to do the task even with the help.</t>
  </si>
  <si>
    <t>The student completed the task with the help from the others.</t>
  </si>
  <si>
    <t>The student completed the task without help.</t>
  </si>
  <si>
    <t>The student completed the task quickly and helped others too.</t>
  </si>
  <si>
    <t>The student finds it difficult to work in a team.</t>
  </si>
  <si>
    <t>Week 32</t>
  </si>
  <si>
    <t>Internet - Data Safety (Do's and Don'ts)</t>
  </si>
  <si>
    <t>LP-32</t>
  </si>
  <si>
    <t>It was difficult for the student to understand the netiquettes and safety precautions.</t>
  </si>
  <si>
    <t>The student understood the netiquettes, but could not follow the safety precautions while using the internet.</t>
  </si>
  <si>
    <t>The student could use the netiquettes and safety precautions while using the internet.</t>
  </si>
  <si>
    <t xml:space="preserve">The student followed all the netiquettes, safety precautions, password and exposing of crucial data effectively. </t>
  </si>
  <si>
    <t xml:space="preserve">The student found it a challenge to set the strong password.
</t>
  </si>
  <si>
    <t>The student partially understood the task of setting the strong password.</t>
  </si>
  <si>
    <t>The student understood the task completely.</t>
  </si>
  <si>
    <t>The student could not come up with the sesured password within the given time.</t>
  </si>
  <si>
    <t>The student tried generating password but was confused with placemet of combinations of special characters etc.</t>
  </si>
  <si>
    <t>The student managed to come up with a proper password but it needed fine changes, like avoiding repetitions etc.</t>
  </si>
  <si>
    <t xml:space="preserve">The student could set a strong password easily within a given time and remembered it too. </t>
  </si>
  <si>
    <t>The student was interested to know about the importance of having a strong and secured password.</t>
  </si>
  <si>
    <t xml:space="preserve">The student understood the threats of sharing personal information on to the public forums. </t>
  </si>
  <si>
    <t>The student came up with creative and strong password and knows the safety measures to follow while working on public forums.</t>
  </si>
  <si>
    <t>Name of the School:</t>
  </si>
  <si>
    <t>Annual Report for 20 ____ - 20_____</t>
  </si>
  <si>
    <t xml:space="preserve">Std:                                Div:    </t>
  </si>
  <si>
    <t>Subject:</t>
  </si>
  <si>
    <t>Name</t>
  </si>
  <si>
    <t>First Term</t>
  </si>
  <si>
    <t>Second Term</t>
  </si>
  <si>
    <t>Total</t>
  </si>
  <si>
    <t>Grade Points</t>
  </si>
  <si>
    <t>Teacher's Name:                                                                                                                                                                                                                                                                                                                                                                                                                                                                       Teachers Signature</t>
  </si>
  <si>
    <t>Grading Pattern out of 25</t>
  </si>
  <si>
    <t>Marks</t>
  </si>
  <si>
    <t>Grades</t>
  </si>
  <si>
    <t>&gt;= 20</t>
  </si>
  <si>
    <t>A</t>
  </si>
  <si>
    <t>&gt;=15</t>
  </si>
  <si>
    <t>B</t>
  </si>
  <si>
    <t>&gt;=10</t>
  </si>
  <si>
    <t>C</t>
  </si>
  <si>
    <t>&gt;=5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</si>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</sst>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theme="1"/>
      <name val="Arial"/>
    </font>
    <font/>
    <font>
      <sz val="11.0"/>
      <color theme="1"/>
      <name val="Arial"/>
    </font>
    <font>
      <sz val="14.0"/>
      <color theme="1"/>
      <name val="Calibri"/>
    </font>
    <font>
      <b/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Arial"/>
    </font>
    <font>
      <b/>
      <sz val="14.0"/>
      <color rgb="FF000000"/>
      <name val="Arial"/>
    </font>
    <font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b/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46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4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1" fillId="2" fontId="5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1" fillId="2" fontId="5" numFmtId="0" xfId="0" applyAlignment="1" applyBorder="1" applyFont="1">
      <alignment horizontal="center" readingOrder="0" vertical="center"/>
    </xf>
    <xf borderId="12" fillId="2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4" fillId="0" fontId="2" numFmtId="0" xfId="0" applyBorder="1" applyFont="1"/>
    <xf borderId="10" fillId="3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wrapText="1"/>
    </xf>
    <xf borderId="15" fillId="5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5" fillId="6" fontId="5" numFmtId="0" xfId="0" applyAlignment="1" applyBorder="1" applyFill="1" applyFont="1">
      <alignment horizontal="center" shrinkToFit="0" vertical="center" wrapText="1"/>
    </xf>
    <xf borderId="15" fillId="7" fontId="5" numFmtId="0" xfId="0" applyAlignment="1" applyBorder="1" applyFill="1" applyFont="1">
      <alignment horizontal="center" shrinkToFit="0" vertical="center" wrapText="1"/>
    </xf>
    <xf borderId="15" fillId="8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6" fillId="0" fontId="2" numFmtId="0" xfId="0" applyBorder="1" applyFont="1"/>
    <xf borderId="15" fillId="3" fontId="8" numFmtId="0" xfId="0" applyAlignment="1" applyBorder="1" applyFont="1">
      <alignment horizontal="center" readingOrder="0" shrinkToFit="0" vertical="center" wrapText="1"/>
    </xf>
    <xf borderId="15" fillId="3" fontId="9" numFmtId="0" xfId="0" applyAlignment="1" applyBorder="1" applyFont="1">
      <alignment horizontal="center" readingOrder="0" shrinkToFit="0" vertical="center" wrapText="1"/>
    </xf>
    <xf borderId="17" fillId="5" fontId="8" numFmtId="0" xfId="0" applyAlignment="1" applyBorder="1" applyFont="1">
      <alignment horizontal="center" readingOrder="0" shrinkToFit="0" vertical="center" wrapText="1"/>
    </xf>
    <xf borderId="17" fillId="6" fontId="8" numFmtId="0" xfId="0" applyAlignment="1" applyBorder="1" applyFont="1">
      <alignment horizontal="center" readingOrder="0" shrinkToFit="0" vertical="center" wrapText="1"/>
    </xf>
    <xf borderId="17" fillId="7" fontId="8" numFmtId="0" xfId="0" applyAlignment="1" applyBorder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17" fillId="7" fontId="9" numFmtId="0" xfId="0" applyAlignment="1" applyBorder="1" applyFont="1">
      <alignment horizontal="center" readingOrder="0" shrinkToFit="0" vertical="center" wrapText="1"/>
    </xf>
    <xf borderId="18" fillId="7" fontId="9" numFmtId="0" xfId="0" applyAlignment="1" applyBorder="1" applyFont="1">
      <alignment horizontal="center" readingOrder="0" shrinkToFit="0" vertical="center" wrapText="1"/>
    </xf>
    <xf borderId="15" fillId="8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left" vertical="center"/>
    </xf>
    <xf borderId="16" fillId="3" fontId="5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9" fillId="0" fontId="5" numFmtId="0" xfId="0" applyAlignment="1" applyBorder="1" applyFont="1">
      <alignment horizontal="center"/>
    </xf>
    <xf borderId="19" fillId="0" fontId="9" numFmtId="0" xfId="0" applyAlignment="1" applyBorder="1" applyFont="1">
      <alignment horizontal="left"/>
    </xf>
    <xf borderId="20" fillId="3" fontId="9" numFmtId="0" xfId="0" applyAlignment="1" applyBorder="1" applyFont="1">
      <alignment horizontal="center"/>
    </xf>
    <xf borderId="21" fillId="3" fontId="9" numFmtId="0" xfId="0" applyAlignment="1" applyBorder="1" applyFont="1">
      <alignment horizontal="center"/>
    </xf>
    <xf borderId="22" fillId="3" fontId="9" numFmtId="0" xfId="0" applyAlignment="1" applyBorder="1" applyFont="1">
      <alignment horizontal="center"/>
    </xf>
    <xf borderId="19" fillId="4" fontId="9" numFmtId="0" xfId="0" applyAlignment="1" applyBorder="1" applyFont="1">
      <alignment horizontal="center"/>
    </xf>
    <xf borderId="20" fillId="5" fontId="9" numFmtId="0" xfId="0" applyAlignment="1" applyBorder="1" applyFont="1">
      <alignment horizontal="center"/>
    </xf>
    <xf borderId="21" fillId="5" fontId="9" numFmtId="0" xfId="0" applyAlignment="1" applyBorder="1" applyFont="1">
      <alignment horizontal="center"/>
    </xf>
    <xf borderId="22" fillId="5" fontId="9" numFmtId="0" xfId="0" applyAlignment="1" applyBorder="1" applyFont="1">
      <alignment horizontal="center"/>
    </xf>
    <xf borderId="20" fillId="6" fontId="9" numFmtId="0" xfId="0" applyAlignment="1" applyBorder="1" applyFont="1">
      <alignment horizontal="center"/>
    </xf>
    <xf borderId="21" fillId="6" fontId="9" numFmtId="0" xfId="0" applyAlignment="1" applyBorder="1" applyFont="1">
      <alignment horizontal="center"/>
    </xf>
    <xf borderId="22" fillId="6" fontId="9" numFmtId="0" xfId="0" applyAlignment="1" applyBorder="1" applyFont="1">
      <alignment horizontal="center"/>
    </xf>
    <xf borderId="23" fillId="4" fontId="9" numFmtId="0" xfId="0" applyAlignment="1" applyBorder="1" applyFont="1">
      <alignment horizontal="center"/>
    </xf>
    <xf borderId="24" fillId="7" fontId="9" numFmtId="0" xfId="0" applyAlignment="1" applyBorder="1" applyFont="1">
      <alignment horizontal="center"/>
    </xf>
    <xf borderId="25" fillId="7" fontId="9" numFmtId="0" xfId="0" applyAlignment="1" applyBorder="1" applyFont="1">
      <alignment horizontal="center"/>
    </xf>
    <xf borderId="26" fillId="7" fontId="9" numFmtId="0" xfId="0" applyAlignment="1" applyBorder="1" applyFont="1">
      <alignment horizontal="center"/>
    </xf>
    <xf borderId="20" fillId="8" fontId="9" numFmtId="0" xfId="0" applyAlignment="1" applyBorder="1" applyFont="1">
      <alignment horizontal="center"/>
    </xf>
    <xf borderId="21" fillId="8" fontId="9" numFmtId="0" xfId="0" applyAlignment="1" applyBorder="1" applyFont="1">
      <alignment horizontal="center"/>
    </xf>
    <xf borderId="22" fillId="8" fontId="9" numFmtId="0" xfId="0" applyAlignment="1" applyBorder="1" applyFont="1">
      <alignment horizontal="center"/>
    </xf>
    <xf borderId="0" fillId="0" fontId="6" numFmtId="0" xfId="0" applyFont="1"/>
    <xf borderId="27" fillId="3" fontId="9" numFmtId="0" xfId="0" applyAlignment="1" applyBorder="1" applyFont="1">
      <alignment horizontal="center"/>
    </xf>
    <xf borderId="17" fillId="3" fontId="9" numFmtId="0" xfId="0" applyAlignment="1" applyBorder="1" applyFont="1">
      <alignment horizontal="center"/>
    </xf>
    <xf borderId="28" fillId="3" fontId="9" numFmtId="0" xfId="0" applyAlignment="1" applyBorder="1" applyFont="1">
      <alignment horizontal="center"/>
    </xf>
    <xf borderId="29" fillId="4" fontId="9" numFmtId="0" xfId="0" applyAlignment="1" applyBorder="1" applyFont="1">
      <alignment horizontal="center"/>
    </xf>
    <xf borderId="27" fillId="5" fontId="9" numFmtId="0" xfId="0" applyAlignment="1" applyBorder="1" applyFont="1">
      <alignment horizontal="center"/>
    </xf>
    <xf borderId="17" fillId="5" fontId="9" numFmtId="0" xfId="0" applyAlignment="1" applyBorder="1" applyFont="1">
      <alignment horizontal="center"/>
    </xf>
    <xf borderId="28" fillId="5" fontId="9" numFmtId="0" xfId="0" applyAlignment="1" applyBorder="1" applyFont="1">
      <alignment horizontal="center"/>
    </xf>
    <xf borderId="27" fillId="6" fontId="9" numFmtId="0" xfId="0" applyAlignment="1" applyBorder="1" applyFont="1">
      <alignment horizontal="center"/>
    </xf>
    <xf borderId="17" fillId="6" fontId="9" numFmtId="0" xfId="0" applyAlignment="1" applyBorder="1" applyFont="1">
      <alignment horizontal="center"/>
    </xf>
    <xf borderId="28" fillId="6" fontId="9" numFmtId="0" xfId="0" applyAlignment="1" applyBorder="1" applyFont="1">
      <alignment horizontal="center"/>
    </xf>
    <xf borderId="27" fillId="7" fontId="9" numFmtId="0" xfId="0" applyAlignment="1" applyBorder="1" applyFont="1">
      <alignment horizontal="center"/>
    </xf>
    <xf borderId="17" fillId="7" fontId="9" numFmtId="0" xfId="0" applyAlignment="1" applyBorder="1" applyFont="1">
      <alignment horizontal="center"/>
    </xf>
    <xf borderId="28" fillId="7" fontId="9" numFmtId="0" xfId="0" applyAlignment="1" applyBorder="1" applyFont="1">
      <alignment horizontal="center"/>
    </xf>
    <xf borderId="27" fillId="8" fontId="9" numFmtId="0" xfId="0" applyAlignment="1" applyBorder="1" applyFont="1">
      <alignment horizontal="center"/>
    </xf>
    <xf borderId="17" fillId="8" fontId="9" numFmtId="0" xfId="0" applyAlignment="1" applyBorder="1" applyFont="1">
      <alignment horizontal="center"/>
    </xf>
    <xf borderId="28" fillId="8" fontId="9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29" fillId="0" fontId="9" numFmtId="0" xfId="0" applyAlignment="1" applyBorder="1" applyFont="1">
      <alignment horizontal="left"/>
    </xf>
    <xf borderId="30" fillId="0" fontId="5" numFmtId="0" xfId="0" applyAlignment="1" applyBorder="1" applyFont="1">
      <alignment horizontal="center"/>
    </xf>
    <xf borderId="30" fillId="0" fontId="9" numFmtId="0" xfId="0" applyAlignment="1" applyBorder="1" applyFont="1">
      <alignment horizontal="left"/>
    </xf>
    <xf borderId="31" fillId="3" fontId="9" numFmtId="0" xfId="0" applyAlignment="1" applyBorder="1" applyFont="1">
      <alignment horizontal="center"/>
    </xf>
    <xf borderId="32" fillId="3" fontId="9" numFmtId="0" xfId="0" applyAlignment="1" applyBorder="1" applyFont="1">
      <alignment horizontal="center"/>
    </xf>
    <xf borderId="33" fillId="3" fontId="9" numFmtId="0" xfId="0" applyAlignment="1" applyBorder="1" applyFont="1">
      <alignment horizontal="center"/>
    </xf>
    <xf borderId="30" fillId="4" fontId="9" numFmtId="0" xfId="0" applyAlignment="1" applyBorder="1" applyFont="1">
      <alignment horizontal="center"/>
    </xf>
    <xf borderId="31" fillId="5" fontId="9" numFmtId="0" xfId="0" applyAlignment="1" applyBorder="1" applyFont="1">
      <alignment horizontal="center"/>
    </xf>
    <xf borderId="32" fillId="5" fontId="9" numFmtId="0" xfId="0" applyAlignment="1" applyBorder="1" applyFont="1">
      <alignment horizontal="center"/>
    </xf>
    <xf borderId="33" fillId="5" fontId="9" numFmtId="0" xfId="0" applyAlignment="1" applyBorder="1" applyFont="1">
      <alignment horizontal="center"/>
    </xf>
    <xf borderId="31" fillId="6" fontId="9" numFmtId="0" xfId="0" applyAlignment="1" applyBorder="1" applyFont="1">
      <alignment horizontal="center"/>
    </xf>
    <xf borderId="32" fillId="6" fontId="9" numFmtId="0" xfId="0" applyAlignment="1" applyBorder="1" applyFont="1">
      <alignment horizontal="center"/>
    </xf>
    <xf borderId="33" fillId="6" fontId="9" numFmtId="0" xfId="0" applyAlignment="1" applyBorder="1" applyFont="1">
      <alignment horizontal="center"/>
    </xf>
    <xf borderId="31" fillId="7" fontId="9" numFmtId="0" xfId="0" applyAlignment="1" applyBorder="1" applyFont="1">
      <alignment horizontal="center"/>
    </xf>
    <xf borderId="32" fillId="7" fontId="9" numFmtId="0" xfId="0" applyAlignment="1" applyBorder="1" applyFont="1">
      <alignment horizontal="center"/>
    </xf>
    <xf borderId="33" fillId="7" fontId="9" numFmtId="0" xfId="0" applyAlignment="1" applyBorder="1" applyFont="1">
      <alignment horizontal="center"/>
    </xf>
    <xf borderId="31" fillId="8" fontId="9" numFmtId="0" xfId="0" applyAlignment="1" applyBorder="1" applyFont="1">
      <alignment horizontal="center"/>
    </xf>
    <xf borderId="32" fillId="8" fontId="9" numFmtId="0" xfId="0" applyAlignment="1" applyBorder="1" applyFont="1">
      <alignment horizontal="center"/>
    </xf>
    <xf borderId="33" fillId="8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7" fillId="3" fontId="8" numFmtId="0" xfId="0" applyAlignment="1" applyBorder="1" applyFont="1">
      <alignment horizontal="center" readingOrder="0" shrinkToFit="0" vertical="center" wrapText="1"/>
    </xf>
    <xf borderId="20" fillId="3" fontId="9" numFmtId="0" xfId="0" applyAlignment="1" applyBorder="1" applyFont="1">
      <alignment horizontal="center" readingOrder="0"/>
    </xf>
    <xf borderId="15" fillId="5" fontId="8" numFmtId="0" xfId="0" applyAlignment="1" applyBorder="1" applyFont="1">
      <alignment horizontal="center" readingOrder="0" shrinkToFit="0" vertical="center" wrapText="1"/>
    </xf>
    <xf borderId="15" fillId="6" fontId="8" numFmtId="0" xfId="0" applyAlignment="1" applyBorder="1" applyFont="1">
      <alignment horizontal="center" readingOrder="0" shrinkToFit="0" vertical="center" wrapText="1"/>
    </xf>
    <xf borderId="15" fillId="6" fontId="9" numFmtId="0" xfId="0" applyAlignment="1" applyBorder="1" applyFont="1">
      <alignment horizontal="center" readingOrder="0" shrinkToFit="0" vertical="center" wrapText="1"/>
    </xf>
    <xf borderId="15" fillId="7" fontId="8" numFmtId="0" xfId="0" applyAlignment="1" applyBorder="1" applyFont="1">
      <alignment horizontal="center" readingOrder="0" shrinkToFit="0" vertical="center" wrapText="1"/>
    </xf>
    <xf borderId="21" fillId="3" fontId="9" numFmtId="0" xfId="0" applyAlignment="1" applyBorder="1" applyFont="1">
      <alignment horizontal="center" readingOrder="0"/>
    </xf>
    <xf borderId="22" fillId="3" fontId="9" numFmtId="0" xfId="0" applyAlignment="1" applyBorder="1" applyFont="1">
      <alignment horizontal="center" readingOrder="0"/>
    </xf>
    <xf borderId="15" fillId="3" fontId="5" numFmtId="0" xfId="0" applyAlignment="1" applyBorder="1" applyFont="1">
      <alignment horizontal="center" shrinkToFit="0" vertical="center" wrapText="1"/>
    </xf>
    <xf borderId="17" fillId="6" fontId="9" numFmtId="0" xfId="0" applyAlignment="1" applyBorder="1" applyFont="1">
      <alignment horizontal="center" readingOrder="0" shrinkToFit="0" vertical="center" wrapText="1"/>
    </xf>
    <xf borderId="15" fillId="8" fontId="8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/>
    </xf>
    <xf borderId="0" fillId="0" fontId="12" numFmtId="0" xfId="0" applyAlignment="1" applyFont="1">
      <alignment horizontal="center"/>
    </xf>
    <xf borderId="34" fillId="0" fontId="2" numFmtId="0" xfId="0" applyBorder="1" applyFont="1"/>
    <xf borderId="35" fillId="0" fontId="5" numFmtId="0" xfId="0" applyAlignment="1" applyBorder="1" applyFont="1">
      <alignment horizontal="center" vertical="center"/>
    </xf>
    <xf borderId="36" fillId="0" fontId="2" numFmtId="0" xfId="0" applyBorder="1" applyFont="1"/>
    <xf borderId="11" fillId="0" fontId="5" numFmtId="0" xfId="0" applyAlignment="1" applyBorder="1" applyFont="1">
      <alignment horizontal="center" vertical="center"/>
    </xf>
    <xf borderId="20" fillId="7" fontId="9" numFmtId="0" xfId="0" applyAlignment="1" applyBorder="1" applyFont="1">
      <alignment horizontal="center"/>
    </xf>
    <xf borderId="21" fillId="7" fontId="9" numFmtId="0" xfId="0" applyAlignment="1" applyBorder="1" applyFont="1">
      <alignment horizontal="center"/>
    </xf>
    <xf borderId="22" fillId="7" fontId="9" numFmtId="0" xfId="0" applyAlignment="1" applyBorder="1" applyFont="1">
      <alignment horizontal="center"/>
    </xf>
    <xf borderId="0" fillId="9" fontId="6" numFmtId="0" xfId="0" applyFill="1" applyFont="1"/>
    <xf borderId="37" fillId="0" fontId="13" numFmtId="0" xfId="0" applyAlignment="1" applyBorder="1" applyFont="1">
      <alignment horizontal="center" readingOrder="0"/>
    </xf>
    <xf borderId="37" fillId="0" fontId="2" numFmtId="0" xfId="0" applyBorder="1" applyFont="1"/>
    <xf borderId="38" fillId="0" fontId="2" numFmtId="0" xfId="0" applyBorder="1" applyFont="1"/>
    <xf borderId="11" fillId="0" fontId="5" numFmtId="0" xfId="0" applyAlignment="1" applyBorder="1" applyFont="1">
      <alignment horizontal="left" vertical="center"/>
    </xf>
    <xf borderId="0" fillId="0" fontId="12" numFmtId="0" xfId="0" applyFont="1"/>
    <xf borderId="15" fillId="3" fontId="8" numFmtId="0" xfId="0" applyAlignment="1" applyBorder="1" applyFont="1">
      <alignment horizontal="center" shrinkToFit="0" vertical="center" wrapText="1"/>
    </xf>
    <xf borderId="17" fillId="6" fontId="9" numFmtId="0" xfId="0" applyAlignment="1" applyBorder="1" applyFont="1">
      <alignment horizontal="center" shrinkToFit="0" vertical="center" wrapText="1"/>
    </xf>
    <xf borderId="15" fillId="7" fontId="9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readingOrder="0" vertical="center"/>
    </xf>
    <xf borderId="18" fillId="0" fontId="2" numFmtId="0" xfId="0" applyBorder="1" applyFont="1"/>
    <xf borderId="0" fillId="0" fontId="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9" numFmtId="0" xfId="0" applyAlignment="1" applyFont="1">
      <alignment vertical="center"/>
    </xf>
    <xf borderId="17" fillId="5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0" fillId="4" fontId="9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4" fillId="3" fontId="8" numFmtId="0" xfId="0" applyAlignment="1" applyBorder="1" applyFont="1">
      <alignment horizontal="center" readingOrder="0" shrinkToFit="0" vertical="center" wrapText="1"/>
    </xf>
    <xf borderId="16" fillId="3" fontId="8" numFmtId="0" xfId="0" applyAlignment="1" applyBorder="1" applyFont="1">
      <alignment horizontal="center" readingOrder="0" shrinkToFit="0" vertical="center" wrapText="1"/>
    </xf>
    <xf borderId="16" fillId="3" fontId="9" numFmtId="0" xfId="0" applyAlignment="1" applyBorder="1" applyFont="1">
      <alignment horizontal="center" readingOrder="0" shrinkToFit="0" vertical="center" wrapText="1"/>
    </xf>
    <xf borderId="15" fillId="5" fontId="8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5" fillId="7" fontId="8" numFmtId="0" xfId="0" applyAlignment="1" applyBorder="1" applyFont="1">
      <alignment horizontal="center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15" fillId="8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/>
    </xf>
    <xf borderId="40" fillId="0" fontId="1" numFmtId="0" xfId="0" applyAlignment="1" applyBorder="1" applyFont="1">
      <alignment horizontal="center" vertical="center"/>
    </xf>
    <xf borderId="41" fillId="0" fontId="2" numFmtId="0" xfId="0" applyBorder="1" applyFont="1"/>
    <xf borderId="42" fillId="0" fontId="2" numFmtId="0" xfId="0" applyBorder="1" applyFont="1"/>
    <xf borderId="15" fillId="6" fontId="8" numFmtId="0" xfId="0" applyAlignment="1" applyBorder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20" fillId="5" fontId="9" numFmtId="0" xfId="0" applyAlignment="1" applyBorder="1" applyFont="1">
      <alignment horizontal="center" readingOrder="0"/>
    </xf>
    <xf borderId="21" fillId="5" fontId="9" numFmtId="0" xfId="0" applyAlignment="1" applyBorder="1" applyFont="1">
      <alignment horizontal="center" readingOrder="0"/>
    </xf>
    <xf borderId="22" fillId="5" fontId="9" numFmtId="0" xfId="0" applyAlignment="1" applyBorder="1" applyFont="1">
      <alignment horizontal="center" readingOrder="0"/>
    </xf>
    <xf borderId="0" fillId="0" fontId="15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readingOrder="0" shrinkToFit="0" vertical="center" wrapText="1"/>
    </xf>
    <xf borderId="14" fillId="3" fontId="9" numFmtId="0" xfId="0" applyAlignment="1" applyBorder="1" applyFont="1">
      <alignment horizontal="center" readingOrder="0" shrinkToFit="0" vertical="center" wrapText="1"/>
    </xf>
    <xf borderId="15" fillId="5" fontId="9" numFmtId="0" xfId="0" applyAlignment="1" applyBorder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15" fillId="6" fontId="9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15" fillId="7" fontId="9" numFmtId="0" xfId="0" applyAlignment="1" applyBorder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vertical="top" wrapText="1"/>
    </xf>
    <xf borderId="0" fillId="0" fontId="17" numFmtId="0" xfId="0" applyAlignment="1" applyFont="1">
      <alignment horizontal="left" readingOrder="0" shrinkToFit="0" wrapText="1"/>
    </xf>
    <xf borderId="35" fillId="0" fontId="5" numFmtId="0" xfId="0" applyAlignment="1" applyBorder="1" applyFont="1">
      <alignment horizontal="center" vertical="center"/>
    </xf>
    <xf borderId="36" fillId="0" fontId="2" numFmtId="0" xfId="0" applyBorder="1" applyFont="1"/>
    <xf borderId="10" fillId="4" fontId="5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16" fillId="0" fontId="2" numFmtId="0" xfId="0" applyBorder="1" applyFont="1"/>
    <xf borderId="11" fillId="0" fontId="5" numFmtId="0" xfId="0" applyAlignment="1" applyBorder="1" applyFont="1">
      <alignment horizontal="left" vertical="center"/>
    </xf>
    <xf borderId="13" fillId="4" fontId="5" numFmtId="0" xfId="0" applyAlignment="1" applyBorder="1" applyFont="1">
      <alignment horizontal="center" shrinkToFit="0" vertical="center" wrapText="1"/>
    </xf>
    <xf borderId="21" fillId="5" fontId="9" numFmtId="0" xfId="0" applyAlignment="1" applyBorder="1" applyFont="1">
      <alignment horizontal="center" shrinkToFit="0" vertical="center" wrapText="1"/>
    </xf>
    <xf borderId="21" fillId="6" fontId="9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wrapText="1"/>
    </xf>
    <xf borderId="15" fillId="4" fontId="5" numFmtId="0" xfId="0" applyAlignment="1" applyBorder="1" applyFont="1">
      <alignment horizontal="center" shrinkToFit="0" vertical="center" wrapText="1"/>
    </xf>
    <xf borderId="43" fillId="0" fontId="9" numFmtId="0" xfId="0" applyAlignment="1" applyBorder="1" applyFont="1">
      <alignment horizontal="left"/>
    </xf>
    <xf borderId="3" fillId="4" fontId="9" numFmtId="0" xfId="0" applyAlignment="1" applyBorder="1" applyFont="1">
      <alignment horizontal="center"/>
    </xf>
    <xf borderId="19" fillId="4" fontId="9" numFmtId="0" xfId="0" applyAlignment="1" applyBorder="1" applyFont="1">
      <alignment horizontal="center" vertical="bottom"/>
    </xf>
    <xf borderId="23" fillId="4" fontId="9" numFmtId="0" xfId="0" applyAlignment="1" applyBorder="1" applyFont="1">
      <alignment horizontal="center"/>
    </xf>
    <xf borderId="44" fillId="4" fontId="9" numFmtId="0" xfId="0" applyAlignment="1" applyBorder="1" applyFont="1">
      <alignment horizontal="center"/>
    </xf>
    <xf borderId="26" fillId="4" fontId="9" numFmtId="0" xfId="0" applyAlignment="1" applyBorder="1" applyFont="1">
      <alignment horizontal="center"/>
    </xf>
    <xf borderId="6" fillId="4" fontId="9" numFmtId="0" xfId="0" applyAlignment="1" applyBorder="1" applyFont="1">
      <alignment horizontal="center"/>
    </xf>
    <xf borderId="29" fillId="4" fontId="9" numFmtId="0" xfId="0" applyAlignment="1" applyBorder="1" applyFont="1">
      <alignment horizontal="center"/>
    </xf>
    <xf borderId="18" fillId="4" fontId="9" numFmtId="0" xfId="0" applyAlignment="1" applyBorder="1" applyFont="1">
      <alignment horizontal="center"/>
    </xf>
    <xf borderId="28" fillId="4" fontId="9" numFmtId="0" xfId="0" applyAlignment="1" applyBorder="1" applyFont="1">
      <alignment horizontal="center"/>
    </xf>
    <xf borderId="4" fillId="0" fontId="9" numFmtId="0" xfId="0" applyAlignment="1" applyBorder="1" applyFont="1">
      <alignment horizontal="left"/>
    </xf>
    <xf borderId="7" fillId="0" fontId="9" numFmtId="0" xfId="0" applyAlignment="1" applyBorder="1" applyFont="1">
      <alignment horizontal="left"/>
    </xf>
    <xf borderId="42" fillId="4" fontId="9" numFmtId="0" xfId="0" applyAlignment="1" applyBorder="1" applyFont="1">
      <alignment horizontal="center"/>
    </xf>
    <xf borderId="16" fillId="4" fontId="9" numFmtId="0" xfId="0" applyAlignment="1" applyBorder="1" applyFont="1">
      <alignment horizontal="center" vertical="bottom"/>
    </xf>
    <xf borderId="30" fillId="4" fontId="9" numFmtId="0" xfId="0" applyAlignment="1" applyBorder="1" applyFont="1">
      <alignment horizontal="center"/>
    </xf>
    <xf borderId="45" fillId="4" fontId="9" numFmtId="0" xfId="0" applyAlignment="1" applyBorder="1" applyFont="1">
      <alignment horizontal="center"/>
    </xf>
    <xf borderId="33" fillId="4" fontId="9" numFmtId="0" xfId="0" applyAlignment="1" applyBorder="1" applyFont="1">
      <alignment horizontal="center"/>
    </xf>
    <xf borderId="17" fillId="5" fontId="9" numFmtId="0" xfId="0" applyAlignment="1" applyBorder="1" applyFont="1">
      <alignment horizontal="center" readingOrder="0" shrinkToFit="0" vertical="center" wrapText="1"/>
    </xf>
    <xf borderId="15" fillId="7" fontId="9" numFmtId="0" xfId="0" applyAlignment="1" applyBorder="1" applyFont="1">
      <alignment horizontal="center" readingOrder="0" shrinkToFit="0" vertical="center" wrapText="1"/>
    </xf>
    <xf borderId="15" fillId="3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top" wrapText="1"/>
    </xf>
    <xf borderId="43" fillId="10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left" vertical="center"/>
    </xf>
    <xf borderId="4" fillId="10" fontId="1" numFmtId="0" xfId="0" applyAlignment="1" applyBorder="1" applyFont="1">
      <alignment horizontal="left" readingOrder="0" vertical="center"/>
    </xf>
    <xf borderId="10" fillId="5" fontId="5" numFmtId="0" xfId="0" applyAlignment="1" applyBorder="1" applyFont="1">
      <alignment horizontal="center" vertical="center"/>
    </xf>
    <xf borderId="15" fillId="6" fontId="5" numFmtId="0" xfId="0" applyAlignment="1" applyBorder="1" applyFont="1">
      <alignment horizontal="center" vertical="center"/>
    </xf>
    <xf borderId="15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15" fillId="7" fontId="5" numFmtId="0" xfId="0" applyAlignment="1" applyBorder="1" applyFont="1">
      <alignment horizontal="center" vertical="center"/>
    </xf>
    <xf borderId="19" fillId="5" fontId="5" numFmtId="0" xfId="0" applyAlignment="1" applyBorder="1" applyFont="1">
      <alignment horizontal="center" vertical="center"/>
    </xf>
    <xf borderId="19" fillId="5" fontId="9" numFmtId="0" xfId="0" applyAlignment="1" applyBorder="1" applyFont="1">
      <alignment horizontal="center" vertical="center"/>
    </xf>
    <xf borderId="20" fillId="6" fontId="9" numFmtId="0" xfId="0" applyAlignment="1" applyBorder="1" applyFont="1">
      <alignment horizontal="center" vertical="center"/>
    </xf>
    <xf borderId="21" fillId="6" fontId="9" numFmtId="0" xfId="0" applyAlignment="1" applyBorder="1" applyFont="1">
      <alignment horizontal="center" vertical="center"/>
    </xf>
    <xf borderId="21" fillId="4" fontId="9" numFmtId="0" xfId="0" applyAlignment="1" applyBorder="1" applyFont="1">
      <alignment horizontal="center" vertical="center"/>
    </xf>
    <xf borderId="21" fillId="4" fontId="9" numFmtId="2" xfId="0" applyAlignment="1" applyBorder="1" applyFont="1" applyNumberFormat="1">
      <alignment horizontal="center" vertical="center"/>
    </xf>
    <xf borderId="22" fillId="4" fontId="9" numFmtId="0" xfId="0" applyAlignment="1" applyBorder="1" applyFont="1">
      <alignment horizontal="center" vertical="center"/>
    </xf>
    <xf borderId="20" fillId="7" fontId="9" numFmtId="0" xfId="0" applyAlignment="1" applyBorder="1" applyFont="1">
      <alignment horizontal="center" vertical="center"/>
    </xf>
    <xf borderId="21" fillId="7" fontId="9" numFmtId="0" xfId="0" applyAlignment="1" applyBorder="1" applyFont="1">
      <alignment horizontal="center" vertical="center"/>
    </xf>
    <xf borderId="21" fillId="7" fontId="9" numFmtId="0" xfId="0" applyAlignment="1" applyBorder="1" applyFont="1">
      <alignment horizontal="center" readingOrder="0" vertical="center"/>
    </xf>
    <xf borderId="29" fillId="5" fontId="5" numFmtId="0" xfId="0" applyAlignment="1" applyBorder="1" applyFont="1">
      <alignment horizontal="center" vertical="center"/>
    </xf>
    <xf borderId="29" fillId="5" fontId="9" numFmtId="0" xfId="0" applyAlignment="1" applyBorder="1" applyFont="1">
      <alignment horizontal="center" vertical="center"/>
    </xf>
    <xf borderId="29" fillId="5" fontId="5" numFmtId="0" xfId="0" applyAlignment="1" applyBorder="1" applyFont="1">
      <alignment horizontal="center" readingOrder="0" vertical="center"/>
    </xf>
    <xf borderId="30" fillId="5" fontId="9" numFmtId="0" xfId="0" applyAlignment="1" applyBorder="1" applyFont="1">
      <alignment horizontal="center" vertical="center"/>
    </xf>
    <xf borderId="32" fillId="4" fontId="9" numFmtId="0" xfId="0" applyAlignment="1" applyBorder="1" applyFont="1">
      <alignment horizontal="center" vertical="center"/>
    </xf>
    <xf borderId="33" fillId="4" fontId="9" numFmtId="0" xfId="0" applyAlignment="1" applyBorder="1" applyFont="1">
      <alignment horizontal="center" vertical="center"/>
    </xf>
    <xf borderId="32" fillId="4" fontId="9" numFmtId="2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center" vertical="bottom"/>
    </xf>
    <xf borderId="0" fillId="0" fontId="18" numFmtId="0" xfId="0" applyAlignment="1" applyFont="1">
      <alignment vertical="center"/>
    </xf>
    <xf borderId="11" fillId="0" fontId="19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15" fillId="0" fontId="1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12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21" t="s">
        <v>13</v>
      </c>
      <c r="D7" s="21" t="s">
        <v>14</v>
      </c>
      <c r="E7" s="21" t="s">
        <v>15</v>
      </c>
      <c r="F7" s="21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30"/>
      <c r="B8" s="30"/>
      <c r="C8" s="31" t="s">
        <v>18</v>
      </c>
      <c r="D8" s="32" t="s">
        <v>19</v>
      </c>
      <c r="E8" s="31" t="s">
        <v>20</v>
      </c>
      <c r="F8" s="31" t="s">
        <v>21</v>
      </c>
      <c r="G8" s="30"/>
      <c r="H8" s="33" t="s">
        <v>22</v>
      </c>
      <c r="I8" s="33" t="s">
        <v>23</v>
      </c>
      <c r="J8" s="33" t="s">
        <v>24</v>
      </c>
      <c r="K8" s="33" t="s">
        <v>25</v>
      </c>
      <c r="L8" s="30"/>
      <c r="M8" s="34" t="s">
        <v>26</v>
      </c>
      <c r="N8" s="34" t="s">
        <v>27</v>
      </c>
      <c r="O8" s="34" t="s">
        <v>28</v>
      </c>
      <c r="P8" s="34" t="s">
        <v>29</v>
      </c>
      <c r="Q8" s="30"/>
      <c r="R8" s="35" t="s">
        <v>30</v>
      </c>
      <c r="S8" s="36" t="s">
        <v>31</v>
      </c>
      <c r="T8" s="37" t="s">
        <v>32</v>
      </c>
      <c r="U8" s="38" t="s">
        <v>33</v>
      </c>
      <c r="V8" s="30"/>
      <c r="W8" s="39" t="s">
        <v>34</v>
      </c>
      <c r="X8" s="39" t="s">
        <v>35</v>
      </c>
      <c r="Y8" s="39" t="s">
        <v>36</v>
      </c>
      <c r="Z8" s="39" t="s">
        <v>37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44">
        <v>2.0</v>
      </c>
      <c r="D9" s="44">
        <v>3.0</v>
      </c>
      <c r="E9" s="44">
        <v>4.0</v>
      </c>
      <c r="F9" s="44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43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21" t="s">
        <v>13</v>
      </c>
      <c r="D7" s="21" t="s">
        <v>14</v>
      </c>
      <c r="E7" s="21" t="s">
        <v>15</v>
      </c>
      <c r="F7" s="21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30"/>
      <c r="B8" s="30"/>
      <c r="C8" s="109" t="s">
        <v>44</v>
      </c>
      <c r="D8" s="109" t="s">
        <v>45</v>
      </c>
      <c r="E8" s="109" t="s">
        <v>46</v>
      </c>
      <c r="F8" s="109" t="s">
        <v>47</v>
      </c>
      <c r="G8" s="30"/>
      <c r="H8" s="33" t="s">
        <v>48</v>
      </c>
      <c r="I8" s="33" t="s">
        <v>49</v>
      </c>
      <c r="J8" s="33" t="s">
        <v>50</v>
      </c>
      <c r="K8" s="33" t="s">
        <v>51</v>
      </c>
      <c r="L8" s="30"/>
      <c r="M8" s="34" t="s">
        <v>52</v>
      </c>
      <c r="N8" s="34" t="s">
        <v>53</v>
      </c>
      <c r="O8" s="34" t="s">
        <v>54</v>
      </c>
      <c r="P8" s="34" t="s">
        <v>55</v>
      </c>
      <c r="Q8" s="30"/>
      <c r="R8" s="35" t="s">
        <v>56</v>
      </c>
      <c r="S8" s="35" t="s">
        <v>57</v>
      </c>
      <c r="T8" s="35" t="s">
        <v>58</v>
      </c>
      <c r="U8" s="35" t="s">
        <v>59</v>
      </c>
      <c r="V8" s="30"/>
      <c r="W8" s="39" t="s">
        <v>34</v>
      </c>
      <c r="X8" s="39" t="s">
        <v>35</v>
      </c>
      <c r="Y8" s="39" t="s">
        <v>36</v>
      </c>
      <c r="Z8" s="39" t="s">
        <v>37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44">
        <v>2.0</v>
      </c>
      <c r="D9" s="44">
        <v>3.0</v>
      </c>
      <c r="E9" s="44">
        <v>4.0</v>
      </c>
      <c r="F9" s="44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10">
        <v>2.0</v>
      </c>
      <c r="D10" s="51">
        <v>0.0</v>
      </c>
      <c r="E10" s="51">
        <v>0.0</v>
      </c>
      <c r="F10" s="52">
        <v>0.0</v>
      </c>
      <c r="G10" s="53">
        <f t="shared" ref="G10:G59" si="1">SUM(C10:F10)</f>
        <v>2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2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4" t="s">
        <v>62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63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21" t="s">
        <v>13</v>
      </c>
      <c r="D7" s="21" t="s">
        <v>14</v>
      </c>
      <c r="E7" s="21" t="s">
        <v>15</v>
      </c>
      <c r="F7" s="21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30"/>
      <c r="B8" s="30"/>
      <c r="C8" s="31" t="s">
        <v>64</v>
      </c>
      <c r="D8" s="31" t="s">
        <v>65</v>
      </c>
      <c r="E8" s="31" t="s">
        <v>66</v>
      </c>
      <c r="F8" s="31" t="s">
        <v>67</v>
      </c>
      <c r="G8" s="30"/>
      <c r="H8" s="111" t="s">
        <v>68</v>
      </c>
      <c r="I8" s="111" t="s">
        <v>69</v>
      </c>
      <c r="J8" s="111" t="s">
        <v>70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3" t="s">
        <v>75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39" t="s">
        <v>34</v>
      </c>
      <c r="X8" s="39" t="s">
        <v>35</v>
      </c>
      <c r="Y8" s="39" t="s">
        <v>36</v>
      </c>
      <c r="Z8" s="39" t="s">
        <v>37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44">
        <v>2.0</v>
      </c>
      <c r="D9" s="44">
        <v>3.0</v>
      </c>
      <c r="E9" s="44">
        <v>4.0</v>
      </c>
      <c r="F9" s="44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10">
        <v>0.0</v>
      </c>
      <c r="D10" s="115">
        <v>0.0</v>
      </c>
      <c r="E10" s="115">
        <v>0.0</v>
      </c>
      <c r="F10" s="116">
        <v>5.0</v>
      </c>
      <c r="G10" s="53">
        <f t="shared" ref="G10:G59" si="1">SUM(C10:F10)</f>
        <v>5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5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81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8</v>
      </c>
      <c r="I6" s="15"/>
      <c r="J6" s="15"/>
      <c r="K6" s="15"/>
      <c r="L6" s="15"/>
      <c r="M6" s="17" t="s">
        <v>9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82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33" t="s">
        <v>87</v>
      </c>
      <c r="I8" s="33" t="s">
        <v>88</v>
      </c>
      <c r="J8" s="33" t="s">
        <v>89</v>
      </c>
      <c r="K8" s="33" t="s">
        <v>90</v>
      </c>
      <c r="L8" s="30"/>
      <c r="M8" s="34" t="s">
        <v>91</v>
      </c>
      <c r="N8" s="118" t="s">
        <v>92</v>
      </c>
      <c r="O8" s="34" t="s">
        <v>93</v>
      </c>
      <c r="P8" s="34" t="s">
        <v>94</v>
      </c>
      <c r="Q8" s="30"/>
      <c r="R8" s="35" t="s">
        <v>56</v>
      </c>
      <c r="S8" s="35" t="s">
        <v>95</v>
      </c>
      <c r="T8" s="35" t="s">
        <v>58</v>
      </c>
      <c r="U8" s="35" t="s">
        <v>59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1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conditionalFormatting sqref="G7:G59">
    <cfRule type="notContainsBlanks" dxfId="0" priority="1">
      <formula>LEN(TRIM(G7))&gt;0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100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4" t="s">
        <v>62</v>
      </c>
      <c r="I6" s="15"/>
      <c r="J6" s="15"/>
      <c r="K6" s="15"/>
      <c r="L6" s="15"/>
      <c r="M6" s="17" t="s">
        <v>9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101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33" t="s">
        <v>87</v>
      </c>
      <c r="I8" s="33" t="s">
        <v>88</v>
      </c>
      <c r="J8" s="33" t="s">
        <v>89</v>
      </c>
      <c r="K8" s="33" t="s">
        <v>90</v>
      </c>
      <c r="L8" s="30"/>
      <c r="M8" s="34" t="s">
        <v>91</v>
      </c>
      <c r="N8" s="34" t="s">
        <v>92</v>
      </c>
      <c r="O8" s="34" t="s">
        <v>93</v>
      </c>
      <c r="P8" s="34" t="s">
        <v>102</v>
      </c>
      <c r="Q8" s="30"/>
      <c r="R8" s="35" t="s">
        <v>56</v>
      </c>
      <c r="S8" s="35" t="s">
        <v>103</v>
      </c>
      <c r="T8" s="35" t="s">
        <v>58</v>
      </c>
      <c r="U8" s="35" t="s">
        <v>59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conditionalFormatting sqref="G7:G8">
    <cfRule type="notContainsBlanks" dxfId="0" priority="1">
      <formula>LEN(TRIM(G7))&gt;0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8</v>
      </c>
      <c r="I6" s="15"/>
      <c r="J6" s="15"/>
      <c r="K6" s="15"/>
      <c r="L6" s="15"/>
      <c r="M6" s="17" t="s">
        <v>9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106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33" t="s">
        <v>87</v>
      </c>
      <c r="I8" s="33" t="s">
        <v>88</v>
      </c>
      <c r="J8" s="33" t="s">
        <v>89</v>
      </c>
      <c r="K8" s="33" t="s">
        <v>90</v>
      </c>
      <c r="L8" s="30"/>
      <c r="M8" s="34" t="s">
        <v>91</v>
      </c>
      <c r="N8" s="34" t="s">
        <v>92</v>
      </c>
      <c r="O8" s="34" t="s">
        <v>93</v>
      </c>
      <c r="P8" s="34" t="s">
        <v>107</v>
      </c>
      <c r="Q8" s="30"/>
      <c r="R8" s="35" t="s">
        <v>56</v>
      </c>
      <c r="S8" s="35" t="s">
        <v>103</v>
      </c>
      <c r="T8" s="35" t="s">
        <v>58</v>
      </c>
      <c r="U8" s="35" t="s">
        <v>59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115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conditionalFormatting sqref="G7:G8">
    <cfRule type="notContainsBlanks" dxfId="0" priority="1">
      <formula>LEN(TRIM(G7))&gt;0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121"/>
      <c r="AE1" s="122"/>
      <c r="AF1" s="122"/>
      <c r="AG1" s="122"/>
      <c r="AH1" s="122"/>
    </row>
    <row r="2" ht="24.75" customHeight="1">
      <c r="A2" s="6" t="s">
        <v>109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121"/>
      <c r="AE2" s="122"/>
      <c r="AF2" s="122"/>
      <c r="AG2" s="122"/>
      <c r="AH2" s="122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21"/>
      <c r="AE3" s="122"/>
      <c r="AF3" s="122"/>
      <c r="AG3" s="122"/>
      <c r="AH3" s="122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21"/>
      <c r="AE4" s="122"/>
      <c r="AF4" s="122"/>
      <c r="AG4" s="122"/>
      <c r="AH4" s="122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21"/>
      <c r="AE5" s="122"/>
      <c r="AF5" s="122"/>
      <c r="AG5" s="122"/>
      <c r="AH5" s="122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4" t="s">
        <v>62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23"/>
      <c r="AB6" s="17" t="s">
        <v>110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111</v>
      </c>
      <c r="D8" s="109" t="s">
        <v>112</v>
      </c>
      <c r="E8" s="109" t="s">
        <v>113</v>
      </c>
      <c r="F8" s="109" t="s">
        <v>114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117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120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121</v>
      </c>
      <c r="D8" s="109" t="s">
        <v>122</v>
      </c>
      <c r="E8" s="109" t="s">
        <v>123</v>
      </c>
      <c r="F8" s="109" t="s">
        <v>124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121"/>
      <c r="AE1" s="122"/>
      <c r="AF1" s="122"/>
      <c r="AG1" s="122"/>
      <c r="AH1" s="122"/>
    </row>
    <row r="2" ht="24.75" customHeight="1">
      <c r="A2" s="6" t="s">
        <v>127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121"/>
      <c r="AE2" s="122"/>
      <c r="AF2" s="122"/>
      <c r="AG2" s="122"/>
      <c r="AH2" s="122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21"/>
      <c r="AE3" s="122"/>
      <c r="AF3" s="122"/>
      <c r="AG3" s="122"/>
      <c r="AH3" s="122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21"/>
      <c r="AE4" s="122"/>
      <c r="AF4" s="122"/>
      <c r="AG4" s="122"/>
      <c r="AH4" s="122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21"/>
      <c r="AE5" s="122"/>
      <c r="AF5" s="122"/>
      <c r="AG5" s="122"/>
      <c r="AH5" s="122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128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30"/>
      <c r="B8" s="3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24" t="s">
        <v>5</v>
      </c>
      <c r="B6" s="13" t="s">
        <v>6</v>
      </c>
      <c r="C6" s="14" t="s">
        <v>7</v>
      </c>
      <c r="D6" s="15"/>
      <c r="E6" s="15"/>
      <c r="F6" s="15"/>
      <c r="G6" s="16"/>
      <c r="H6" s="14" t="s">
        <v>62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132</v>
      </c>
      <c r="AC6" s="16"/>
      <c r="AD6" s="4"/>
      <c r="AE6" s="19"/>
      <c r="AF6" s="19"/>
      <c r="AG6" s="19"/>
      <c r="AH6" s="19"/>
    </row>
    <row r="7" ht="51.75" customHeight="1">
      <c r="A7" s="125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125"/>
      <c r="B8" s="3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126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53">
        <f t="shared" ref="Q10:Q59" si="3">SUM(M10:P10)</f>
        <v>0</v>
      </c>
      <c r="R10" s="127">
        <v>0.0</v>
      </c>
      <c r="S10" s="128">
        <v>0.0</v>
      </c>
      <c r="T10" s="128">
        <v>0.0</v>
      </c>
      <c r="U10" s="129">
        <v>0.0</v>
      </c>
      <c r="V10" s="53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130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135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21" t="s">
        <v>13</v>
      </c>
      <c r="D7" s="21" t="s">
        <v>14</v>
      </c>
      <c r="E7" s="21" t="s">
        <v>15</v>
      </c>
      <c r="F7" s="21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129</v>
      </c>
      <c r="D8" s="109" t="s">
        <v>136</v>
      </c>
      <c r="E8" s="109" t="s">
        <v>85</v>
      </c>
      <c r="F8" s="109" t="s">
        <v>137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44">
        <v>2.0</v>
      </c>
      <c r="D9" s="44">
        <v>3.0</v>
      </c>
      <c r="E9" s="44">
        <v>4.0</v>
      </c>
      <c r="F9" s="44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121"/>
      <c r="AE1" s="122"/>
      <c r="AF1" s="122"/>
      <c r="AG1" s="122"/>
      <c r="AH1" s="122"/>
    </row>
    <row r="2" ht="24.75" customHeight="1">
      <c r="A2" s="6" t="s">
        <v>139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121"/>
      <c r="AE2" s="122"/>
      <c r="AF2" s="122"/>
      <c r="AG2" s="122"/>
      <c r="AH2" s="122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21"/>
      <c r="AE3" s="122"/>
      <c r="AF3" s="122"/>
      <c r="AG3" s="122"/>
      <c r="AH3" s="122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21"/>
      <c r="AE4" s="122"/>
      <c r="AF4" s="122"/>
      <c r="AG4" s="122"/>
      <c r="AH4" s="122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21"/>
      <c r="AE5" s="122"/>
      <c r="AF5" s="122"/>
      <c r="AG5" s="122"/>
      <c r="AH5" s="122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5"/>
      <c r="AB6" s="17" t="s">
        <v>140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3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143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144</v>
      </c>
      <c r="O8" s="112" t="s">
        <v>145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131" t="s">
        <v>119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3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7" t="s">
        <v>147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148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149</v>
      </c>
      <c r="D8" s="109" t="s">
        <v>150</v>
      </c>
      <c r="E8" s="109" t="s">
        <v>151</v>
      </c>
      <c r="F8" s="109" t="s">
        <v>152</v>
      </c>
      <c r="G8" s="30"/>
      <c r="H8" s="33" t="s">
        <v>153</v>
      </c>
      <c r="I8" s="33" t="s">
        <v>154</v>
      </c>
      <c r="J8" s="33" t="s">
        <v>155</v>
      </c>
      <c r="K8" s="33" t="s">
        <v>156</v>
      </c>
      <c r="L8" s="30"/>
      <c r="M8" s="34" t="s">
        <v>157</v>
      </c>
      <c r="N8" s="34" t="s">
        <v>158</v>
      </c>
      <c r="O8" s="34" t="s">
        <v>159</v>
      </c>
      <c r="P8" s="34" t="s">
        <v>160</v>
      </c>
      <c r="Q8" s="30"/>
      <c r="R8" s="35" t="s">
        <v>161</v>
      </c>
      <c r="S8" s="35" t="s">
        <v>162</v>
      </c>
      <c r="T8" s="35" t="s">
        <v>163</v>
      </c>
      <c r="U8" s="35" t="s">
        <v>164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166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3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168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8</v>
      </c>
      <c r="I6" s="15"/>
      <c r="J6" s="15"/>
      <c r="K6" s="15"/>
      <c r="L6" s="15"/>
      <c r="M6" s="17" t="s">
        <v>9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169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171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172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31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24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8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5"/>
      <c r="AB6" s="17" t="s">
        <v>175</v>
      </c>
      <c r="AC6" s="16"/>
      <c r="AD6" s="4"/>
      <c r="AE6" s="19"/>
      <c r="AF6" s="19"/>
      <c r="AG6" s="19"/>
      <c r="AH6" s="19"/>
    </row>
    <row r="7" ht="51.75" customHeight="1">
      <c r="A7" s="20"/>
      <c r="B7" s="125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125"/>
      <c r="C8" s="109" t="s">
        <v>129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134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135"/>
      <c r="AF1" s="135"/>
      <c r="AG1" s="135"/>
      <c r="AH1" s="135"/>
    </row>
    <row r="2" ht="24.75" customHeight="1">
      <c r="A2" s="6" t="s">
        <v>177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8</v>
      </c>
      <c r="I6" s="15"/>
      <c r="J6" s="15"/>
      <c r="K6" s="15"/>
      <c r="L6" s="15"/>
      <c r="M6" s="14" t="s">
        <v>178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179</v>
      </c>
      <c r="AC6" s="15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137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137">
        <v>2.0</v>
      </c>
      <c r="N9" s="137">
        <v>3.0</v>
      </c>
      <c r="O9" s="137">
        <v>4.0</v>
      </c>
      <c r="P9" s="137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135"/>
      <c r="AF1" s="135"/>
      <c r="AG1" s="135"/>
      <c r="AH1" s="135"/>
    </row>
    <row r="2" ht="24.75" customHeight="1">
      <c r="A2" s="6" t="s">
        <v>181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8</v>
      </c>
      <c r="I6" s="15"/>
      <c r="J6" s="15"/>
      <c r="K6" s="15"/>
      <c r="L6" s="15"/>
      <c r="M6" s="14" t="s">
        <v>178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182</v>
      </c>
      <c r="AC6" s="15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137">
        <v>2.0</v>
      </c>
      <c r="N9" s="137">
        <v>3.0</v>
      </c>
      <c r="O9" s="137">
        <v>4.0</v>
      </c>
      <c r="P9" s="137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39" t="s">
        <v>183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40"/>
      <c r="AD1" s="141"/>
      <c r="AE1" s="142"/>
      <c r="AF1" s="142"/>
      <c r="AG1" s="142"/>
      <c r="AH1" s="142"/>
    </row>
    <row r="2" ht="24.75" customHeight="1">
      <c r="A2" s="139" t="s">
        <v>184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40"/>
      <c r="AD2" s="141"/>
      <c r="AE2" s="142"/>
      <c r="AF2" s="142"/>
      <c r="AG2" s="142"/>
      <c r="AH2" s="142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41"/>
      <c r="AE3" s="142"/>
      <c r="AF3" s="142"/>
      <c r="AG3" s="142"/>
      <c r="AH3" s="142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41"/>
      <c r="AE4" s="142"/>
      <c r="AF4" s="142"/>
      <c r="AG4" s="142"/>
      <c r="AH4" s="142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41"/>
      <c r="AE5" s="142"/>
      <c r="AF5" s="142"/>
      <c r="AG5" s="142"/>
      <c r="AH5" s="142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185</v>
      </c>
      <c r="I6" s="15"/>
      <c r="J6" s="15"/>
      <c r="K6" s="15"/>
      <c r="L6" s="15"/>
      <c r="M6" s="14" t="s">
        <v>178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186</v>
      </c>
      <c r="AC6" s="15"/>
      <c r="AD6" s="141"/>
      <c r="AE6" s="143"/>
      <c r="AF6" s="143"/>
      <c r="AG6" s="143"/>
      <c r="AH6" s="143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144">
        <v>2.0</v>
      </c>
      <c r="I9" s="144">
        <v>3.0</v>
      </c>
      <c r="J9" s="144">
        <v>4.0</v>
      </c>
      <c r="K9" s="144">
        <v>5.0</v>
      </c>
      <c r="L9" s="45" t="s">
        <v>38</v>
      </c>
      <c r="M9" s="137">
        <v>2.0</v>
      </c>
      <c r="N9" s="137">
        <v>3.0</v>
      </c>
      <c r="O9" s="137">
        <v>4.0</v>
      </c>
      <c r="P9" s="137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53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71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71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71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71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71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71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71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71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71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71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71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71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71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71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71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71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71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71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71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71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71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71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71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71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71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71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71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71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71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71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71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71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71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71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71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71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71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71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71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71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71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71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71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71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71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71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71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71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91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39" t="s">
        <v>187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40"/>
      <c r="AD1" s="4"/>
      <c r="AE1" s="135"/>
      <c r="AF1" s="135"/>
      <c r="AG1" s="135"/>
      <c r="AH1" s="135"/>
    </row>
    <row r="2" ht="24.75" customHeight="1">
      <c r="A2" s="139" t="s">
        <v>188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40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185</v>
      </c>
      <c r="I6" s="15"/>
      <c r="J6" s="15"/>
      <c r="K6" s="15"/>
      <c r="L6" s="15"/>
      <c r="M6" s="14" t="s">
        <v>178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5"/>
      <c r="AB6" s="17" t="s">
        <v>189</v>
      </c>
      <c r="AC6" s="15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144">
        <v>2.0</v>
      </c>
      <c r="I9" s="144">
        <v>3.0</v>
      </c>
      <c r="J9" s="144">
        <v>4.0</v>
      </c>
      <c r="K9" s="144">
        <v>5.0</v>
      </c>
      <c r="L9" s="45" t="s">
        <v>38</v>
      </c>
      <c r="M9" s="137">
        <v>2.0</v>
      </c>
      <c r="N9" s="137">
        <v>3.0</v>
      </c>
      <c r="O9" s="137">
        <v>4.0</v>
      </c>
      <c r="P9" s="137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53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71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71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71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71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71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71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71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71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71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71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71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71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71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71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71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71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71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71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71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71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71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71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71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71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71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71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71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71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71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71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71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71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71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71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71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71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71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71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71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71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71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71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71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71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71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71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71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71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91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5"/>
      <c r="AF1" s="5"/>
      <c r="AG1" s="5"/>
      <c r="AH1" s="5"/>
    </row>
    <row r="2" ht="24.75" customHeight="1">
      <c r="A2" s="6" t="s">
        <v>191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5"/>
      <c r="AF2" s="5"/>
      <c r="AG2" s="5"/>
      <c r="AH2" s="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5"/>
      <c r="AF3" s="5"/>
      <c r="AG3" s="5"/>
      <c r="AH3" s="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5"/>
      <c r="AF4" s="5"/>
      <c r="AG4" s="5"/>
      <c r="AH4" s="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5"/>
      <c r="AF5" s="5"/>
      <c r="AG5" s="5"/>
      <c r="AH5" s="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5"/>
      <c r="H6" s="17" t="s">
        <v>8</v>
      </c>
      <c r="I6" s="15"/>
      <c r="J6" s="15"/>
      <c r="K6" s="15"/>
      <c r="L6" s="15"/>
      <c r="M6" s="17" t="s">
        <v>9</v>
      </c>
      <c r="N6" s="15"/>
      <c r="O6" s="15"/>
      <c r="P6" s="15"/>
      <c r="Q6" s="15"/>
      <c r="R6" s="14" t="s">
        <v>10</v>
      </c>
      <c r="S6" s="15"/>
      <c r="T6" s="15"/>
      <c r="U6" s="15"/>
      <c r="V6" s="15"/>
      <c r="W6" s="14" t="s">
        <v>11</v>
      </c>
      <c r="X6" s="15"/>
      <c r="Y6" s="15"/>
      <c r="Z6" s="15"/>
      <c r="AA6" s="16"/>
      <c r="AB6" s="17" t="s">
        <v>192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09" t="s">
        <v>83</v>
      </c>
      <c r="D8" s="109" t="s">
        <v>84</v>
      </c>
      <c r="E8" s="109" t="s">
        <v>85</v>
      </c>
      <c r="F8" s="109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135"/>
      <c r="AF1" s="135"/>
      <c r="AG1" s="135"/>
      <c r="AH1" s="135"/>
    </row>
    <row r="2" ht="24.75" customHeight="1">
      <c r="A2" s="6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194</v>
      </c>
      <c r="AC6" s="16"/>
      <c r="AD6" s="145"/>
      <c r="AE6" s="41"/>
      <c r="AF6" s="41"/>
      <c r="AG6" s="41"/>
      <c r="AH6" s="41"/>
    </row>
    <row r="7" ht="51.75" customHeight="1">
      <c r="A7" s="20"/>
      <c r="B7" s="20"/>
      <c r="C7" s="21" t="s">
        <v>13</v>
      </c>
      <c r="D7" s="117" t="s">
        <v>14</v>
      </c>
      <c r="E7" s="117" t="s">
        <v>15</v>
      </c>
      <c r="F7" s="117" t="s">
        <v>16</v>
      </c>
      <c r="G7" s="22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146"/>
      <c r="AB7" s="146"/>
      <c r="AC7" s="146"/>
      <c r="AD7" s="28"/>
      <c r="AE7" s="29"/>
      <c r="AF7" s="29"/>
      <c r="AG7" s="29"/>
      <c r="AH7" s="29"/>
    </row>
    <row r="8" ht="199.5" customHeight="1">
      <c r="A8" s="30"/>
      <c r="B8" s="30"/>
      <c r="C8" s="31" t="s">
        <v>129</v>
      </c>
      <c r="D8" s="31" t="s">
        <v>84</v>
      </c>
      <c r="E8" s="31" t="s">
        <v>85</v>
      </c>
      <c r="F8" s="31" t="s">
        <v>86</v>
      </c>
      <c r="G8" s="30"/>
      <c r="H8" s="111" t="s">
        <v>115</v>
      </c>
      <c r="I8" s="111" t="s">
        <v>69</v>
      </c>
      <c r="J8" s="111" t="s">
        <v>116</v>
      </c>
      <c r="K8" s="111" t="s">
        <v>71</v>
      </c>
      <c r="L8" s="30"/>
      <c r="M8" s="112" t="s">
        <v>72</v>
      </c>
      <c r="N8" s="112" t="s">
        <v>73</v>
      </c>
      <c r="O8" s="112" t="s">
        <v>74</v>
      </c>
      <c r="P8" s="112" t="s">
        <v>125</v>
      </c>
      <c r="Q8" s="30"/>
      <c r="R8" s="114" t="s">
        <v>76</v>
      </c>
      <c r="S8" s="114" t="s">
        <v>77</v>
      </c>
      <c r="T8" s="114" t="s">
        <v>78</v>
      </c>
      <c r="U8" s="114" t="s">
        <v>79</v>
      </c>
      <c r="V8" s="30"/>
      <c r="W8" s="119" t="s">
        <v>34</v>
      </c>
      <c r="X8" s="119" t="s">
        <v>96</v>
      </c>
      <c r="Y8" s="119" t="s">
        <v>97</v>
      </c>
      <c r="Z8" s="119" t="s">
        <v>98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2"/>
      <c r="C9" s="44">
        <v>2.0</v>
      </c>
      <c r="D9" s="117">
        <v>3.0</v>
      </c>
      <c r="E9" s="117">
        <v>4.0</v>
      </c>
      <c r="F9" s="117">
        <v>5.0</v>
      </c>
      <c r="G9" s="147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10">
        <v>0.0</v>
      </c>
      <c r="D10" s="115">
        <v>0.0</v>
      </c>
      <c r="E10" s="115">
        <v>0.0</v>
      </c>
      <c r="F10" s="116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148"/>
      <c r="AE1" s="148"/>
      <c r="AF1" s="148"/>
      <c r="AG1" s="148"/>
      <c r="AH1" s="148"/>
    </row>
    <row r="2" ht="24.75" customHeight="1">
      <c r="A2" s="6" t="s">
        <v>196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148"/>
      <c r="AE2" s="148"/>
      <c r="AF2" s="148"/>
      <c r="AG2" s="148"/>
      <c r="AH2" s="148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48"/>
      <c r="AE3" s="148"/>
      <c r="AF3" s="148"/>
      <c r="AG3" s="148"/>
      <c r="AH3" s="148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48"/>
      <c r="AE4" s="148"/>
      <c r="AF4" s="148"/>
      <c r="AG4" s="148"/>
      <c r="AH4" s="148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48"/>
      <c r="AE5" s="148"/>
      <c r="AF5" s="148"/>
      <c r="AG5" s="148"/>
      <c r="AH5" s="148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4" t="s">
        <v>62</v>
      </c>
      <c r="I6" s="15"/>
      <c r="J6" s="15"/>
      <c r="K6" s="15"/>
      <c r="L6" s="16"/>
      <c r="M6" s="17" t="s">
        <v>9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197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4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30"/>
      <c r="B8" s="30"/>
      <c r="C8" s="149" t="s">
        <v>198</v>
      </c>
      <c r="D8" s="150" t="s">
        <v>199</v>
      </c>
      <c r="E8" s="151" t="s">
        <v>200</v>
      </c>
      <c r="F8" s="150" t="s">
        <v>201</v>
      </c>
      <c r="G8" s="30"/>
      <c r="H8" s="152" t="s">
        <v>202</v>
      </c>
      <c r="I8" s="153" t="s">
        <v>203</v>
      </c>
      <c r="J8" s="152" t="s">
        <v>204</v>
      </c>
      <c r="K8" s="153" t="s">
        <v>205</v>
      </c>
      <c r="L8" s="30"/>
      <c r="M8" s="112" t="s">
        <v>206</v>
      </c>
      <c r="N8" s="112" t="s">
        <v>207</v>
      </c>
      <c r="O8" s="112" t="s">
        <v>208</v>
      </c>
      <c r="P8" s="112" t="s">
        <v>209</v>
      </c>
      <c r="Q8" s="30"/>
      <c r="R8" s="154" t="s">
        <v>210</v>
      </c>
      <c r="S8" s="155" t="s">
        <v>211</v>
      </c>
      <c r="T8" s="154" t="s">
        <v>212</v>
      </c>
      <c r="U8" s="155" t="s">
        <v>213</v>
      </c>
      <c r="V8" s="30"/>
      <c r="W8" s="156" t="s">
        <v>214</v>
      </c>
      <c r="X8" s="156" t="s">
        <v>215</v>
      </c>
      <c r="Y8" s="156" t="s">
        <v>216</v>
      </c>
      <c r="Z8" s="156" t="s">
        <v>217</v>
      </c>
      <c r="AA8" s="30"/>
      <c r="AB8" s="30"/>
      <c r="AC8" s="30"/>
      <c r="AD8" s="157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44">
        <v>3.0</v>
      </c>
      <c r="E9" s="44">
        <v>4.0</v>
      </c>
      <c r="F9" s="44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10">
        <v>0.0</v>
      </c>
      <c r="D10" s="115">
        <v>0.0</v>
      </c>
      <c r="E10" s="115">
        <v>0.0</v>
      </c>
      <c r="F10" s="116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58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141"/>
      <c r="AE1" s="142"/>
      <c r="AF1" s="142"/>
      <c r="AG1" s="142"/>
      <c r="AH1" s="142"/>
    </row>
    <row r="2" ht="24.75" customHeight="1">
      <c r="A2" s="6" t="s">
        <v>219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141"/>
      <c r="AE2" s="142"/>
      <c r="AF2" s="142"/>
      <c r="AG2" s="142"/>
      <c r="AH2" s="142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41"/>
      <c r="AE3" s="142"/>
      <c r="AF3" s="142"/>
      <c r="AG3" s="142"/>
      <c r="AH3" s="142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41"/>
      <c r="AE4" s="142"/>
      <c r="AF4" s="142"/>
      <c r="AG4" s="142"/>
      <c r="AH4" s="142"/>
    </row>
    <row r="5" ht="24.75" customHeight="1">
      <c r="A5" s="159" t="s">
        <v>4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1"/>
      <c r="AD5" s="141"/>
      <c r="AE5" s="142"/>
      <c r="AF5" s="142"/>
      <c r="AG5" s="142"/>
      <c r="AH5" s="142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220</v>
      </c>
      <c r="I6" s="15"/>
      <c r="J6" s="15"/>
      <c r="K6" s="15"/>
      <c r="L6" s="16"/>
      <c r="M6" s="14" t="s">
        <v>10</v>
      </c>
      <c r="N6" s="15"/>
      <c r="O6" s="15"/>
      <c r="P6" s="15"/>
      <c r="Q6" s="16"/>
      <c r="R6" s="17" t="s">
        <v>221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222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4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49" t="s">
        <v>223</v>
      </c>
      <c r="D8" s="150" t="s">
        <v>224</v>
      </c>
      <c r="E8" s="150" t="s">
        <v>225</v>
      </c>
      <c r="F8" s="150" t="s">
        <v>226</v>
      </c>
      <c r="G8" s="30"/>
      <c r="H8" s="152" t="s">
        <v>227</v>
      </c>
      <c r="I8" s="153" t="s">
        <v>228</v>
      </c>
      <c r="J8" s="152" t="s">
        <v>229</v>
      </c>
      <c r="K8" s="153" t="s">
        <v>230</v>
      </c>
      <c r="L8" s="30"/>
      <c r="M8" s="162" t="s">
        <v>231</v>
      </c>
      <c r="N8" s="163" t="s">
        <v>232</v>
      </c>
      <c r="O8" s="162" t="s">
        <v>233</v>
      </c>
      <c r="P8" s="163" t="s">
        <v>234</v>
      </c>
      <c r="Q8" s="30"/>
      <c r="R8" s="154" t="s">
        <v>235</v>
      </c>
      <c r="S8" s="155" t="s">
        <v>236</v>
      </c>
      <c r="T8" s="154" t="s">
        <v>237</v>
      </c>
      <c r="U8" s="154" t="s">
        <v>238</v>
      </c>
      <c r="V8" s="30"/>
      <c r="W8" s="156" t="s">
        <v>214</v>
      </c>
      <c r="X8" s="156" t="s">
        <v>215</v>
      </c>
      <c r="Y8" s="156" t="s">
        <v>216</v>
      </c>
      <c r="Z8" s="156" t="s">
        <v>217</v>
      </c>
      <c r="AA8" s="30"/>
      <c r="AB8" s="30"/>
      <c r="AC8" s="30"/>
      <c r="AD8" s="12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164">
        <v>0.0</v>
      </c>
      <c r="I10" s="165">
        <v>0.0</v>
      </c>
      <c r="J10" s="165">
        <v>0.0</v>
      </c>
      <c r="K10" s="16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167"/>
      <c r="AE1" s="168"/>
      <c r="AF1" s="168"/>
      <c r="AG1" s="168"/>
      <c r="AH1" s="168"/>
    </row>
    <row r="2" ht="24.75" customHeight="1">
      <c r="A2" s="169" t="s">
        <v>240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167"/>
      <c r="AE2" s="168"/>
      <c r="AF2" s="168"/>
      <c r="AG2" s="168"/>
      <c r="AH2" s="168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167"/>
      <c r="AE3" s="168"/>
      <c r="AF3" s="168"/>
      <c r="AG3" s="168"/>
      <c r="AH3" s="168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67"/>
      <c r="AE4" s="168"/>
      <c r="AF4" s="168"/>
      <c r="AG4" s="168"/>
      <c r="AH4" s="168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67"/>
      <c r="AE5" s="168"/>
      <c r="AF5" s="168"/>
      <c r="AG5" s="168"/>
      <c r="AH5" s="168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220</v>
      </c>
      <c r="I6" s="15"/>
      <c r="J6" s="15"/>
      <c r="K6" s="15"/>
      <c r="L6" s="16"/>
      <c r="M6" s="14" t="s">
        <v>10</v>
      </c>
      <c r="N6" s="15"/>
      <c r="O6" s="15"/>
      <c r="P6" s="15"/>
      <c r="Q6" s="16"/>
      <c r="R6" s="17" t="s">
        <v>221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241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4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70" t="s">
        <v>242</v>
      </c>
      <c r="D8" s="151" t="s">
        <v>243</v>
      </c>
      <c r="E8" s="151" t="s">
        <v>244</v>
      </c>
      <c r="F8" s="151" t="s">
        <v>245</v>
      </c>
      <c r="G8" s="30"/>
      <c r="H8" s="171" t="s">
        <v>246</v>
      </c>
      <c r="I8" s="172" t="s">
        <v>247</v>
      </c>
      <c r="J8" s="171" t="s">
        <v>248</v>
      </c>
      <c r="K8" s="172" t="s">
        <v>249</v>
      </c>
      <c r="L8" s="30"/>
      <c r="M8" s="173" t="s">
        <v>231</v>
      </c>
      <c r="N8" s="174" t="s">
        <v>211</v>
      </c>
      <c r="O8" s="173" t="s">
        <v>212</v>
      </c>
      <c r="P8" s="174" t="s">
        <v>213</v>
      </c>
      <c r="Q8" s="30"/>
      <c r="R8" s="175" t="s">
        <v>235</v>
      </c>
      <c r="S8" s="176" t="s">
        <v>236</v>
      </c>
      <c r="T8" s="175" t="s">
        <v>237</v>
      </c>
      <c r="U8" s="175" t="s">
        <v>238</v>
      </c>
      <c r="V8" s="30"/>
      <c r="W8" s="156" t="s">
        <v>214</v>
      </c>
      <c r="X8" s="156" t="s">
        <v>215</v>
      </c>
      <c r="Y8" s="156" t="s">
        <v>216</v>
      </c>
      <c r="Z8" s="156" t="s">
        <v>217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17">
        <v>2.0</v>
      </c>
      <c r="D9" s="117">
        <v>3.0</v>
      </c>
      <c r="E9" s="117">
        <v>4.0</v>
      </c>
      <c r="F9" s="117">
        <v>5.0</v>
      </c>
      <c r="G9" s="45" t="s">
        <v>38</v>
      </c>
      <c r="H9" s="23">
        <v>2.0</v>
      </c>
      <c r="I9" s="23">
        <v>3.0</v>
      </c>
      <c r="J9" s="23">
        <v>4.0</v>
      </c>
      <c r="K9" s="23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26">
        <v>2.0</v>
      </c>
      <c r="S9" s="26">
        <v>3.0</v>
      </c>
      <c r="T9" s="26">
        <v>4.0</v>
      </c>
      <c r="U9" s="26">
        <v>5.0</v>
      </c>
      <c r="V9" s="45" t="s">
        <v>38</v>
      </c>
      <c r="W9" s="27">
        <v>2.0</v>
      </c>
      <c r="X9" s="27">
        <v>3.0</v>
      </c>
      <c r="Y9" s="27">
        <v>4.0</v>
      </c>
      <c r="Z9" s="27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50">
        <v>0.0</v>
      </c>
      <c r="D10" s="51">
        <v>0.0</v>
      </c>
      <c r="E10" s="51">
        <v>0.0</v>
      </c>
      <c r="F10" s="52">
        <v>0.0</v>
      </c>
      <c r="G10" s="53">
        <f t="shared" ref="G10:G59" si="1">SUM(C10:F10)</f>
        <v>0</v>
      </c>
      <c r="H10" s="54">
        <v>0.0</v>
      </c>
      <c r="I10" s="55">
        <v>0.0</v>
      </c>
      <c r="J10" s="55">
        <v>0.0</v>
      </c>
      <c r="K10" s="56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61">
        <v>0.0</v>
      </c>
      <c r="S10" s="62">
        <v>0.0</v>
      </c>
      <c r="T10" s="62">
        <v>0.0</v>
      </c>
      <c r="U10" s="63">
        <v>0.0</v>
      </c>
      <c r="V10" s="60">
        <f t="shared" ref="V10:V59" si="4">SUM(R10:U10)</f>
        <v>0</v>
      </c>
      <c r="W10" s="64">
        <v>0.0</v>
      </c>
      <c r="X10" s="65">
        <v>0.0</v>
      </c>
      <c r="Y10" s="65">
        <v>0.0</v>
      </c>
      <c r="Z10" s="66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68">
        <v>0.0</v>
      </c>
      <c r="D11" s="69">
        <v>0.0</v>
      </c>
      <c r="E11" s="69">
        <v>0.0</v>
      </c>
      <c r="F11" s="70">
        <v>0.0</v>
      </c>
      <c r="G11" s="71">
        <f t="shared" si="1"/>
        <v>0</v>
      </c>
      <c r="H11" s="72">
        <v>0.0</v>
      </c>
      <c r="I11" s="73">
        <v>0.0</v>
      </c>
      <c r="J11" s="73">
        <v>0.0</v>
      </c>
      <c r="K11" s="7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78">
        <v>0.0</v>
      </c>
      <c r="S11" s="79">
        <v>0.0</v>
      </c>
      <c r="T11" s="79">
        <v>0.0</v>
      </c>
      <c r="U11" s="80">
        <v>0.0</v>
      </c>
      <c r="V11" s="71">
        <f t="shared" si="4"/>
        <v>0</v>
      </c>
      <c r="W11" s="81">
        <v>0.0</v>
      </c>
      <c r="X11" s="82">
        <v>0.0</v>
      </c>
      <c r="Y11" s="82">
        <v>0.0</v>
      </c>
      <c r="Z11" s="83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68">
        <v>0.0</v>
      </c>
      <c r="D12" s="69">
        <v>0.0</v>
      </c>
      <c r="E12" s="69">
        <v>0.0</v>
      </c>
      <c r="F12" s="70">
        <v>0.0</v>
      </c>
      <c r="G12" s="71">
        <f t="shared" si="1"/>
        <v>0</v>
      </c>
      <c r="H12" s="72">
        <v>0.0</v>
      </c>
      <c r="I12" s="73">
        <v>0.0</v>
      </c>
      <c r="J12" s="73">
        <v>0.0</v>
      </c>
      <c r="K12" s="7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78">
        <v>0.0</v>
      </c>
      <c r="S12" s="79">
        <v>0.0</v>
      </c>
      <c r="T12" s="79">
        <v>0.0</v>
      </c>
      <c r="U12" s="80">
        <v>0.0</v>
      </c>
      <c r="V12" s="71">
        <f t="shared" si="4"/>
        <v>0</v>
      </c>
      <c r="W12" s="81">
        <v>0.0</v>
      </c>
      <c r="X12" s="82">
        <v>0.0</v>
      </c>
      <c r="Y12" s="82">
        <v>0.0</v>
      </c>
      <c r="Z12" s="83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68">
        <v>0.0</v>
      </c>
      <c r="D13" s="69">
        <v>0.0</v>
      </c>
      <c r="E13" s="69">
        <v>0.0</v>
      </c>
      <c r="F13" s="70">
        <v>0.0</v>
      </c>
      <c r="G13" s="71">
        <f t="shared" si="1"/>
        <v>0</v>
      </c>
      <c r="H13" s="72">
        <v>0.0</v>
      </c>
      <c r="I13" s="73">
        <v>0.0</v>
      </c>
      <c r="J13" s="73">
        <v>0.0</v>
      </c>
      <c r="K13" s="7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78">
        <v>0.0</v>
      </c>
      <c r="S13" s="79">
        <v>0.0</v>
      </c>
      <c r="T13" s="79">
        <v>0.0</v>
      </c>
      <c r="U13" s="80">
        <v>0.0</v>
      </c>
      <c r="V13" s="71">
        <f t="shared" si="4"/>
        <v>0</v>
      </c>
      <c r="W13" s="81">
        <v>0.0</v>
      </c>
      <c r="X13" s="82">
        <v>0.0</v>
      </c>
      <c r="Y13" s="82">
        <v>0.0</v>
      </c>
      <c r="Z13" s="83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68">
        <v>0.0</v>
      </c>
      <c r="D14" s="69">
        <v>0.0</v>
      </c>
      <c r="E14" s="69">
        <v>0.0</v>
      </c>
      <c r="F14" s="70">
        <v>0.0</v>
      </c>
      <c r="G14" s="71">
        <f t="shared" si="1"/>
        <v>0</v>
      </c>
      <c r="H14" s="72">
        <v>0.0</v>
      </c>
      <c r="I14" s="73">
        <v>0.0</v>
      </c>
      <c r="J14" s="73">
        <v>0.0</v>
      </c>
      <c r="K14" s="7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78">
        <v>0.0</v>
      </c>
      <c r="S14" s="79">
        <v>0.0</v>
      </c>
      <c r="T14" s="79">
        <v>0.0</v>
      </c>
      <c r="U14" s="80">
        <v>0.0</v>
      </c>
      <c r="V14" s="71">
        <f t="shared" si="4"/>
        <v>0</v>
      </c>
      <c r="W14" s="81">
        <v>0.0</v>
      </c>
      <c r="X14" s="82">
        <v>0.0</v>
      </c>
      <c r="Y14" s="82">
        <v>0.0</v>
      </c>
      <c r="Z14" s="83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68">
        <v>0.0</v>
      </c>
      <c r="D15" s="69">
        <v>0.0</v>
      </c>
      <c r="E15" s="69">
        <v>0.0</v>
      </c>
      <c r="F15" s="70">
        <v>0.0</v>
      </c>
      <c r="G15" s="71">
        <f t="shared" si="1"/>
        <v>0</v>
      </c>
      <c r="H15" s="72">
        <v>0.0</v>
      </c>
      <c r="I15" s="73">
        <v>0.0</v>
      </c>
      <c r="J15" s="73">
        <v>0.0</v>
      </c>
      <c r="K15" s="7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78">
        <v>0.0</v>
      </c>
      <c r="S15" s="79">
        <v>0.0</v>
      </c>
      <c r="T15" s="79">
        <v>0.0</v>
      </c>
      <c r="U15" s="80">
        <v>0.0</v>
      </c>
      <c r="V15" s="71">
        <f t="shared" si="4"/>
        <v>0</v>
      </c>
      <c r="W15" s="81">
        <v>0.0</v>
      </c>
      <c r="X15" s="82">
        <v>0.0</v>
      </c>
      <c r="Y15" s="82">
        <v>0.0</v>
      </c>
      <c r="Z15" s="83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68">
        <v>0.0</v>
      </c>
      <c r="D16" s="69">
        <v>0.0</v>
      </c>
      <c r="E16" s="69">
        <v>0.0</v>
      </c>
      <c r="F16" s="70">
        <v>0.0</v>
      </c>
      <c r="G16" s="71">
        <f t="shared" si="1"/>
        <v>0</v>
      </c>
      <c r="H16" s="72">
        <v>0.0</v>
      </c>
      <c r="I16" s="73">
        <v>0.0</v>
      </c>
      <c r="J16" s="73">
        <v>0.0</v>
      </c>
      <c r="K16" s="7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78">
        <v>0.0</v>
      </c>
      <c r="S16" s="79">
        <v>0.0</v>
      </c>
      <c r="T16" s="79">
        <v>0.0</v>
      </c>
      <c r="U16" s="80">
        <v>0.0</v>
      </c>
      <c r="V16" s="71">
        <f t="shared" si="4"/>
        <v>0</v>
      </c>
      <c r="W16" s="81">
        <v>0.0</v>
      </c>
      <c r="X16" s="82">
        <v>0.0</v>
      </c>
      <c r="Y16" s="82">
        <v>0.0</v>
      </c>
      <c r="Z16" s="83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68">
        <v>0.0</v>
      </c>
      <c r="D17" s="69">
        <v>0.0</v>
      </c>
      <c r="E17" s="69">
        <v>0.0</v>
      </c>
      <c r="F17" s="70">
        <v>0.0</v>
      </c>
      <c r="G17" s="71">
        <f t="shared" si="1"/>
        <v>0</v>
      </c>
      <c r="H17" s="72">
        <v>0.0</v>
      </c>
      <c r="I17" s="73">
        <v>0.0</v>
      </c>
      <c r="J17" s="73">
        <v>0.0</v>
      </c>
      <c r="K17" s="7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78">
        <v>0.0</v>
      </c>
      <c r="S17" s="79">
        <v>0.0</v>
      </c>
      <c r="T17" s="79">
        <v>0.0</v>
      </c>
      <c r="U17" s="80">
        <v>0.0</v>
      </c>
      <c r="V17" s="71">
        <f t="shared" si="4"/>
        <v>0</v>
      </c>
      <c r="W17" s="81">
        <v>0.0</v>
      </c>
      <c r="X17" s="82">
        <v>0.0</v>
      </c>
      <c r="Y17" s="82">
        <v>0.0</v>
      </c>
      <c r="Z17" s="83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68">
        <v>0.0</v>
      </c>
      <c r="D18" s="69">
        <v>0.0</v>
      </c>
      <c r="E18" s="69">
        <v>0.0</v>
      </c>
      <c r="F18" s="70">
        <v>0.0</v>
      </c>
      <c r="G18" s="71">
        <f t="shared" si="1"/>
        <v>0</v>
      </c>
      <c r="H18" s="72">
        <v>0.0</v>
      </c>
      <c r="I18" s="73">
        <v>0.0</v>
      </c>
      <c r="J18" s="73">
        <v>0.0</v>
      </c>
      <c r="K18" s="7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78">
        <v>0.0</v>
      </c>
      <c r="S18" s="79">
        <v>0.0</v>
      </c>
      <c r="T18" s="79">
        <v>0.0</v>
      </c>
      <c r="U18" s="80">
        <v>0.0</v>
      </c>
      <c r="V18" s="71">
        <f t="shared" si="4"/>
        <v>0</v>
      </c>
      <c r="W18" s="81">
        <v>0.0</v>
      </c>
      <c r="X18" s="82">
        <v>0.0</v>
      </c>
      <c r="Y18" s="82">
        <v>0.0</v>
      </c>
      <c r="Z18" s="83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68">
        <v>0.0</v>
      </c>
      <c r="D19" s="69">
        <v>0.0</v>
      </c>
      <c r="E19" s="69">
        <v>0.0</v>
      </c>
      <c r="F19" s="70">
        <v>0.0</v>
      </c>
      <c r="G19" s="71">
        <f t="shared" si="1"/>
        <v>0</v>
      </c>
      <c r="H19" s="72">
        <v>0.0</v>
      </c>
      <c r="I19" s="73">
        <v>0.0</v>
      </c>
      <c r="J19" s="73">
        <v>0.0</v>
      </c>
      <c r="K19" s="7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78">
        <v>0.0</v>
      </c>
      <c r="S19" s="79">
        <v>0.0</v>
      </c>
      <c r="T19" s="79">
        <v>0.0</v>
      </c>
      <c r="U19" s="80">
        <v>0.0</v>
      </c>
      <c r="V19" s="71">
        <f t="shared" si="4"/>
        <v>0</v>
      </c>
      <c r="W19" s="81">
        <v>0.0</v>
      </c>
      <c r="X19" s="82">
        <v>0.0</v>
      </c>
      <c r="Y19" s="82">
        <v>0.0</v>
      </c>
      <c r="Z19" s="83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68">
        <v>0.0</v>
      </c>
      <c r="D20" s="69">
        <v>0.0</v>
      </c>
      <c r="E20" s="69">
        <v>0.0</v>
      </c>
      <c r="F20" s="70">
        <v>0.0</v>
      </c>
      <c r="G20" s="71">
        <f t="shared" si="1"/>
        <v>0</v>
      </c>
      <c r="H20" s="72">
        <v>0.0</v>
      </c>
      <c r="I20" s="73">
        <v>0.0</v>
      </c>
      <c r="J20" s="73">
        <v>0.0</v>
      </c>
      <c r="K20" s="7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78">
        <v>0.0</v>
      </c>
      <c r="S20" s="79">
        <v>0.0</v>
      </c>
      <c r="T20" s="79">
        <v>0.0</v>
      </c>
      <c r="U20" s="80">
        <v>0.0</v>
      </c>
      <c r="V20" s="71">
        <f t="shared" si="4"/>
        <v>0</v>
      </c>
      <c r="W20" s="81">
        <v>0.0</v>
      </c>
      <c r="X20" s="82">
        <v>0.0</v>
      </c>
      <c r="Y20" s="82">
        <v>0.0</v>
      </c>
      <c r="Z20" s="83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68">
        <v>0.0</v>
      </c>
      <c r="D21" s="69">
        <v>0.0</v>
      </c>
      <c r="E21" s="69">
        <v>0.0</v>
      </c>
      <c r="F21" s="70">
        <v>0.0</v>
      </c>
      <c r="G21" s="71">
        <f t="shared" si="1"/>
        <v>0</v>
      </c>
      <c r="H21" s="72">
        <v>0.0</v>
      </c>
      <c r="I21" s="73">
        <v>0.0</v>
      </c>
      <c r="J21" s="73">
        <v>0.0</v>
      </c>
      <c r="K21" s="7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78">
        <v>0.0</v>
      </c>
      <c r="S21" s="79">
        <v>0.0</v>
      </c>
      <c r="T21" s="79">
        <v>0.0</v>
      </c>
      <c r="U21" s="80">
        <v>0.0</v>
      </c>
      <c r="V21" s="71">
        <f t="shared" si="4"/>
        <v>0</v>
      </c>
      <c r="W21" s="81">
        <v>0.0</v>
      </c>
      <c r="X21" s="82">
        <v>0.0</v>
      </c>
      <c r="Y21" s="82">
        <v>0.0</v>
      </c>
      <c r="Z21" s="83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68">
        <v>0.0</v>
      </c>
      <c r="D22" s="69">
        <v>0.0</v>
      </c>
      <c r="E22" s="69">
        <v>0.0</v>
      </c>
      <c r="F22" s="70">
        <v>0.0</v>
      </c>
      <c r="G22" s="71">
        <f t="shared" si="1"/>
        <v>0</v>
      </c>
      <c r="H22" s="72">
        <v>0.0</v>
      </c>
      <c r="I22" s="73">
        <v>0.0</v>
      </c>
      <c r="J22" s="73">
        <v>0.0</v>
      </c>
      <c r="K22" s="7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78">
        <v>0.0</v>
      </c>
      <c r="S22" s="79">
        <v>0.0</v>
      </c>
      <c r="T22" s="79">
        <v>0.0</v>
      </c>
      <c r="U22" s="80">
        <v>0.0</v>
      </c>
      <c r="V22" s="71">
        <f t="shared" si="4"/>
        <v>0</v>
      </c>
      <c r="W22" s="81">
        <v>0.0</v>
      </c>
      <c r="X22" s="82">
        <v>0.0</v>
      </c>
      <c r="Y22" s="82">
        <v>0.0</v>
      </c>
      <c r="Z22" s="83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68">
        <v>0.0</v>
      </c>
      <c r="D23" s="69">
        <v>0.0</v>
      </c>
      <c r="E23" s="69">
        <v>0.0</v>
      </c>
      <c r="F23" s="70">
        <v>0.0</v>
      </c>
      <c r="G23" s="71">
        <f t="shared" si="1"/>
        <v>0</v>
      </c>
      <c r="H23" s="72">
        <v>0.0</v>
      </c>
      <c r="I23" s="73">
        <v>0.0</v>
      </c>
      <c r="J23" s="73">
        <v>0.0</v>
      </c>
      <c r="K23" s="7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78">
        <v>0.0</v>
      </c>
      <c r="S23" s="79">
        <v>0.0</v>
      </c>
      <c r="T23" s="79">
        <v>0.0</v>
      </c>
      <c r="U23" s="80">
        <v>0.0</v>
      </c>
      <c r="V23" s="71">
        <f t="shared" si="4"/>
        <v>0</v>
      </c>
      <c r="W23" s="81">
        <v>0.0</v>
      </c>
      <c r="X23" s="82">
        <v>0.0</v>
      </c>
      <c r="Y23" s="82">
        <v>0.0</v>
      </c>
      <c r="Z23" s="83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68">
        <v>0.0</v>
      </c>
      <c r="D24" s="69">
        <v>0.0</v>
      </c>
      <c r="E24" s="69">
        <v>0.0</v>
      </c>
      <c r="F24" s="70">
        <v>0.0</v>
      </c>
      <c r="G24" s="71">
        <f t="shared" si="1"/>
        <v>0</v>
      </c>
      <c r="H24" s="72">
        <v>0.0</v>
      </c>
      <c r="I24" s="73">
        <v>0.0</v>
      </c>
      <c r="J24" s="73">
        <v>0.0</v>
      </c>
      <c r="K24" s="7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78">
        <v>0.0</v>
      </c>
      <c r="S24" s="79">
        <v>0.0</v>
      </c>
      <c r="T24" s="79">
        <v>0.0</v>
      </c>
      <c r="U24" s="80">
        <v>0.0</v>
      </c>
      <c r="V24" s="71">
        <f t="shared" si="4"/>
        <v>0</v>
      </c>
      <c r="W24" s="81">
        <v>0.0</v>
      </c>
      <c r="X24" s="82">
        <v>0.0</v>
      </c>
      <c r="Y24" s="82">
        <v>0.0</v>
      </c>
      <c r="Z24" s="83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68">
        <v>0.0</v>
      </c>
      <c r="D25" s="69">
        <v>0.0</v>
      </c>
      <c r="E25" s="69">
        <v>0.0</v>
      </c>
      <c r="F25" s="70">
        <v>0.0</v>
      </c>
      <c r="G25" s="71">
        <f t="shared" si="1"/>
        <v>0</v>
      </c>
      <c r="H25" s="72">
        <v>0.0</v>
      </c>
      <c r="I25" s="73">
        <v>0.0</v>
      </c>
      <c r="J25" s="73">
        <v>0.0</v>
      </c>
      <c r="K25" s="7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78">
        <v>0.0</v>
      </c>
      <c r="S25" s="79">
        <v>0.0</v>
      </c>
      <c r="T25" s="79">
        <v>0.0</v>
      </c>
      <c r="U25" s="80">
        <v>0.0</v>
      </c>
      <c r="V25" s="71">
        <f t="shared" si="4"/>
        <v>0</v>
      </c>
      <c r="W25" s="81">
        <v>0.0</v>
      </c>
      <c r="X25" s="82">
        <v>0.0</v>
      </c>
      <c r="Y25" s="82">
        <v>0.0</v>
      </c>
      <c r="Z25" s="83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68">
        <v>0.0</v>
      </c>
      <c r="D26" s="69">
        <v>0.0</v>
      </c>
      <c r="E26" s="69">
        <v>0.0</v>
      </c>
      <c r="F26" s="70">
        <v>0.0</v>
      </c>
      <c r="G26" s="71">
        <f t="shared" si="1"/>
        <v>0</v>
      </c>
      <c r="H26" s="72">
        <v>0.0</v>
      </c>
      <c r="I26" s="73">
        <v>0.0</v>
      </c>
      <c r="J26" s="73">
        <v>0.0</v>
      </c>
      <c r="K26" s="7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78">
        <v>0.0</v>
      </c>
      <c r="S26" s="79">
        <v>0.0</v>
      </c>
      <c r="T26" s="79">
        <v>0.0</v>
      </c>
      <c r="U26" s="80">
        <v>0.0</v>
      </c>
      <c r="V26" s="71">
        <f t="shared" si="4"/>
        <v>0</v>
      </c>
      <c r="W26" s="81">
        <v>0.0</v>
      </c>
      <c r="X26" s="82">
        <v>0.0</v>
      </c>
      <c r="Y26" s="82">
        <v>0.0</v>
      </c>
      <c r="Z26" s="83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68">
        <v>0.0</v>
      </c>
      <c r="D27" s="69">
        <v>0.0</v>
      </c>
      <c r="E27" s="69">
        <v>0.0</v>
      </c>
      <c r="F27" s="70">
        <v>0.0</v>
      </c>
      <c r="G27" s="71">
        <f t="shared" si="1"/>
        <v>0</v>
      </c>
      <c r="H27" s="72">
        <v>0.0</v>
      </c>
      <c r="I27" s="73">
        <v>0.0</v>
      </c>
      <c r="J27" s="73">
        <v>0.0</v>
      </c>
      <c r="K27" s="7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78">
        <v>0.0</v>
      </c>
      <c r="S27" s="79">
        <v>0.0</v>
      </c>
      <c r="T27" s="79">
        <v>0.0</v>
      </c>
      <c r="U27" s="80">
        <v>0.0</v>
      </c>
      <c r="V27" s="71">
        <f t="shared" si="4"/>
        <v>0</v>
      </c>
      <c r="W27" s="81">
        <v>0.0</v>
      </c>
      <c r="X27" s="82">
        <v>0.0</v>
      </c>
      <c r="Y27" s="82">
        <v>0.0</v>
      </c>
      <c r="Z27" s="83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68">
        <v>0.0</v>
      </c>
      <c r="D28" s="69">
        <v>0.0</v>
      </c>
      <c r="E28" s="69">
        <v>0.0</v>
      </c>
      <c r="F28" s="70">
        <v>0.0</v>
      </c>
      <c r="G28" s="71">
        <f t="shared" si="1"/>
        <v>0</v>
      </c>
      <c r="H28" s="72">
        <v>0.0</v>
      </c>
      <c r="I28" s="73">
        <v>0.0</v>
      </c>
      <c r="J28" s="73">
        <v>0.0</v>
      </c>
      <c r="K28" s="7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78">
        <v>0.0</v>
      </c>
      <c r="S28" s="79">
        <v>0.0</v>
      </c>
      <c r="T28" s="79">
        <v>0.0</v>
      </c>
      <c r="U28" s="80">
        <v>0.0</v>
      </c>
      <c r="V28" s="71">
        <f t="shared" si="4"/>
        <v>0</v>
      </c>
      <c r="W28" s="81">
        <v>0.0</v>
      </c>
      <c r="X28" s="82">
        <v>0.0</v>
      </c>
      <c r="Y28" s="82">
        <v>0.0</v>
      </c>
      <c r="Z28" s="83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68">
        <v>0.0</v>
      </c>
      <c r="D29" s="69">
        <v>0.0</v>
      </c>
      <c r="E29" s="69">
        <v>0.0</v>
      </c>
      <c r="F29" s="70">
        <v>0.0</v>
      </c>
      <c r="G29" s="71">
        <f t="shared" si="1"/>
        <v>0</v>
      </c>
      <c r="H29" s="72">
        <v>0.0</v>
      </c>
      <c r="I29" s="73">
        <v>0.0</v>
      </c>
      <c r="J29" s="73">
        <v>0.0</v>
      </c>
      <c r="K29" s="7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78">
        <v>0.0</v>
      </c>
      <c r="S29" s="79">
        <v>0.0</v>
      </c>
      <c r="T29" s="79">
        <v>0.0</v>
      </c>
      <c r="U29" s="80">
        <v>0.0</v>
      </c>
      <c r="V29" s="71">
        <f t="shared" si="4"/>
        <v>0</v>
      </c>
      <c r="W29" s="81">
        <v>0.0</v>
      </c>
      <c r="X29" s="82">
        <v>0.0</v>
      </c>
      <c r="Y29" s="82">
        <v>0.0</v>
      </c>
      <c r="Z29" s="83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68">
        <v>0.0</v>
      </c>
      <c r="D30" s="69">
        <v>0.0</v>
      </c>
      <c r="E30" s="69">
        <v>0.0</v>
      </c>
      <c r="F30" s="70">
        <v>0.0</v>
      </c>
      <c r="G30" s="71">
        <f t="shared" si="1"/>
        <v>0</v>
      </c>
      <c r="H30" s="72">
        <v>0.0</v>
      </c>
      <c r="I30" s="73">
        <v>0.0</v>
      </c>
      <c r="J30" s="73">
        <v>0.0</v>
      </c>
      <c r="K30" s="7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78">
        <v>0.0</v>
      </c>
      <c r="S30" s="79">
        <v>0.0</v>
      </c>
      <c r="T30" s="79">
        <v>0.0</v>
      </c>
      <c r="U30" s="80">
        <v>0.0</v>
      </c>
      <c r="V30" s="71">
        <f t="shared" si="4"/>
        <v>0</v>
      </c>
      <c r="W30" s="81">
        <v>0.0</v>
      </c>
      <c r="X30" s="82">
        <v>0.0</v>
      </c>
      <c r="Y30" s="82">
        <v>0.0</v>
      </c>
      <c r="Z30" s="83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68">
        <v>0.0</v>
      </c>
      <c r="D31" s="69">
        <v>0.0</v>
      </c>
      <c r="E31" s="69">
        <v>0.0</v>
      </c>
      <c r="F31" s="70">
        <v>0.0</v>
      </c>
      <c r="G31" s="71">
        <f t="shared" si="1"/>
        <v>0</v>
      </c>
      <c r="H31" s="72">
        <v>0.0</v>
      </c>
      <c r="I31" s="73">
        <v>0.0</v>
      </c>
      <c r="J31" s="73">
        <v>0.0</v>
      </c>
      <c r="K31" s="7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78">
        <v>0.0</v>
      </c>
      <c r="S31" s="79">
        <v>0.0</v>
      </c>
      <c r="T31" s="79">
        <v>0.0</v>
      </c>
      <c r="U31" s="80">
        <v>0.0</v>
      </c>
      <c r="V31" s="71">
        <f t="shared" si="4"/>
        <v>0</v>
      </c>
      <c r="W31" s="81">
        <v>0.0</v>
      </c>
      <c r="X31" s="82">
        <v>0.0</v>
      </c>
      <c r="Y31" s="82">
        <v>0.0</v>
      </c>
      <c r="Z31" s="83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68">
        <v>0.0</v>
      </c>
      <c r="D32" s="69">
        <v>0.0</v>
      </c>
      <c r="E32" s="69">
        <v>0.0</v>
      </c>
      <c r="F32" s="70">
        <v>0.0</v>
      </c>
      <c r="G32" s="71">
        <f t="shared" si="1"/>
        <v>0</v>
      </c>
      <c r="H32" s="72">
        <v>0.0</v>
      </c>
      <c r="I32" s="73">
        <v>0.0</v>
      </c>
      <c r="J32" s="73">
        <v>0.0</v>
      </c>
      <c r="K32" s="7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78">
        <v>0.0</v>
      </c>
      <c r="S32" s="79">
        <v>0.0</v>
      </c>
      <c r="T32" s="79">
        <v>0.0</v>
      </c>
      <c r="U32" s="80">
        <v>0.0</v>
      </c>
      <c r="V32" s="71">
        <f t="shared" si="4"/>
        <v>0</v>
      </c>
      <c r="W32" s="81">
        <v>0.0</v>
      </c>
      <c r="X32" s="82">
        <v>0.0</v>
      </c>
      <c r="Y32" s="82">
        <v>0.0</v>
      </c>
      <c r="Z32" s="83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68">
        <v>0.0</v>
      </c>
      <c r="D33" s="69">
        <v>0.0</v>
      </c>
      <c r="E33" s="69">
        <v>0.0</v>
      </c>
      <c r="F33" s="70">
        <v>0.0</v>
      </c>
      <c r="G33" s="71">
        <f t="shared" si="1"/>
        <v>0</v>
      </c>
      <c r="H33" s="72">
        <v>0.0</v>
      </c>
      <c r="I33" s="73">
        <v>0.0</v>
      </c>
      <c r="J33" s="73">
        <v>0.0</v>
      </c>
      <c r="K33" s="7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78">
        <v>0.0</v>
      </c>
      <c r="S33" s="79">
        <v>0.0</v>
      </c>
      <c r="T33" s="79">
        <v>0.0</v>
      </c>
      <c r="U33" s="80">
        <v>0.0</v>
      </c>
      <c r="V33" s="71">
        <f t="shared" si="4"/>
        <v>0</v>
      </c>
      <c r="W33" s="81">
        <v>0.0</v>
      </c>
      <c r="X33" s="82">
        <v>0.0</v>
      </c>
      <c r="Y33" s="82">
        <v>0.0</v>
      </c>
      <c r="Z33" s="83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68">
        <v>0.0</v>
      </c>
      <c r="D34" s="69">
        <v>0.0</v>
      </c>
      <c r="E34" s="69">
        <v>0.0</v>
      </c>
      <c r="F34" s="70">
        <v>0.0</v>
      </c>
      <c r="G34" s="71">
        <f t="shared" si="1"/>
        <v>0</v>
      </c>
      <c r="H34" s="72">
        <v>0.0</v>
      </c>
      <c r="I34" s="73">
        <v>0.0</v>
      </c>
      <c r="J34" s="73">
        <v>0.0</v>
      </c>
      <c r="K34" s="7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78">
        <v>0.0</v>
      </c>
      <c r="S34" s="79">
        <v>0.0</v>
      </c>
      <c r="T34" s="79">
        <v>0.0</v>
      </c>
      <c r="U34" s="80">
        <v>0.0</v>
      </c>
      <c r="V34" s="71">
        <f t="shared" si="4"/>
        <v>0</v>
      </c>
      <c r="W34" s="81">
        <v>0.0</v>
      </c>
      <c r="X34" s="82">
        <v>0.0</v>
      </c>
      <c r="Y34" s="82">
        <v>0.0</v>
      </c>
      <c r="Z34" s="83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68">
        <v>0.0</v>
      </c>
      <c r="D35" s="69">
        <v>0.0</v>
      </c>
      <c r="E35" s="69">
        <v>0.0</v>
      </c>
      <c r="F35" s="70">
        <v>0.0</v>
      </c>
      <c r="G35" s="71">
        <f t="shared" si="1"/>
        <v>0</v>
      </c>
      <c r="H35" s="72">
        <v>0.0</v>
      </c>
      <c r="I35" s="73">
        <v>0.0</v>
      </c>
      <c r="J35" s="73">
        <v>0.0</v>
      </c>
      <c r="K35" s="7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78">
        <v>0.0</v>
      </c>
      <c r="S35" s="79">
        <v>0.0</v>
      </c>
      <c r="T35" s="79">
        <v>0.0</v>
      </c>
      <c r="U35" s="80">
        <v>0.0</v>
      </c>
      <c r="V35" s="71">
        <f t="shared" si="4"/>
        <v>0</v>
      </c>
      <c r="W35" s="81">
        <v>0.0</v>
      </c>
      <c r="X35" s="82">
        <v>0.0</v>
      </c>
      <c r="Y35" s="82">
        <v>0.0</v>
      </c>
      <c r="Z35" s="83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68">
        <v>0.0</v>
      </c>
      <c r="D36" s="69">
        <v>0.0</v>
      </c>
      <c r="E36" s="69">
        <v>0.0</v>
      </c>
      <c r="F36" s="70">
        <v>0.0</v>
      </c>
      <c r="G36" s="71">
        <f t="shared" si="1"/>
        <v>0</v>
      </c>
      <c r="H36" s="72">
        <v>0.0</v>
      </c>
      <c r="I36" s="73">
        <v>0.0</v>
      </c>
      <c r="J36" s="73">
        <v>0.0</v>
      </c>
      <c r="K36" s="7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78">
        <v>0.0</v>
      </c>
      <c r="S36" s="79">
        <v>0.0</v>
      </c>
      <c r="T36" s="79">
        <v>0.0</v>
      </c>
      <c r="U36" s="80">
        <v>0.0</v>
      </c>
      <c r="V36" s="71">
        <f t="shared" si="4"/>
        <v>0</v>
      </c>
      <c r="W36" s="81">
        <v>0.0</v>
      </c>
      <c r="X36" s="82">
        <v>0.0</v>
      </c>
      <c r="Y36" s="82">
        <v>0.0</v>
      </c>
      <c r="Z36" s="83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68">
        <v>0.0</v>
      </c>
      <c r="D37" s="69">
        <v>0.0</v>
      </c>
      <c r="E37" s="69">
        <v>0.0</v>
      </c>
      <c r="F37" s="70">
        <v>0.0</v>
      </c>
      <c r="G37" s="71">
        <f t="shared" si="1"/>
        <v>0</v>
      </c>
      <c r="H37" s="72">
        <v>0.0</v>
      </c>
      <c r="I37" s="73">
        <v>0.0</v>
      </c>
      <c r="J37" s="73">
        <v>0.0</v>
      </c>
      <c r="K37" s="7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78">
        <v>0.0</v>
      </c>
      <c r="S37" s="79">
        <v>0.0</v>
      </c>
      <c r="T37" s="79">
        <v>0.0</v>
      </c>
      <c r="U37" s="80">
        <v>0.0</v>
      </c>
      <c r="V37" s="71">
        <f t="shared" si="4"/>
        <v>0</v>
      </c>
      <c r="W37" s="81">
        <v>0.0</v>
      </c>
      <c r="X37" s="82">
        <v>0.0</v>
      </c>
      <c r="Y37" s="82">
        <v>0.0</v>
      </c>
      <c r="Z37" s="83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68">
        <v>0.0</v>
      </c>
      <c r="D38" s="69">
        <v>0.0</v>
      </c>
      <c r="E38" s="69">
        <v>0.0</v>
      </c>
      <c r="F38" s="70">
        <v>0.0</v>
      </c>
      <c r="G38" s="71">
        <f t="shared" si="1"/>
        <v>0</v>
      </c>
      <c r="H38" s="72">
        <v>0.0</v>
      </c>
      <c r="I38" s="73">
        <v>0.0</v>
      </c>
      <c r="J38" s="73">
        <v>0.0</v>
      </c>
      <c r="K38" s="7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78">
        <v>0.0</v>
      </c>
      <c r="S38" s="79">
        <v>0.0</v>
      </c>
      <c r="T38" s="79">
        <v>0.0</v>
      </c>
      <c r="U38" s="80">
        <v>0.0</v>
      </c>
      <c r="V38" s="71">
        <f t="shared" si="4"/>
        <v>0</v>
      </c>
      <c r="W38" s="81">
        <v>0.0</v>
      </c>
      <c r="X38" s="82">
        <v>0.0</v>
      </c>
      <c r="Y38" s="82">
        <v>0.0</v>
      </c>
      <c r="Z38" s="83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68">
        <v>0.0</v>
      </c>
      <c r="D39" s="69">
        <v>0.0</v>
      </c>
      <c r="E39" s="69">
        <v>0.0</v>
      </c>
      <c r="F39" s="70">
        <v>0.0</v>
      </c>
      <c r="G39" s="71">
        <f t="shared" si="1"/>
        <v>0</v>
      </c>
      <c r="H39" s="72">
        <v>0.0</v>
      </c>
      <c r="I39" s="73">
        <v>0.0</v>
      </c>
      <c r="J39" s="73">
        <v>0.0</v>
      </c>
      <c r="K39" s="7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78">
        <v>0.0</v>
      </c>
      <c r="S39" s="79">
        <v>0.0</v>
      </c>
      <c r="T39" s="79">
        <v>0.0</v>
      </c>
      <c r="U39" s="80">
        <v>0.0</v>
      </c>
      <c r="V39" s="71">
        <f t="shared" si="4"/>
        <v>0</v>
      </c>
      <c r="W39" s="81">
        <v>0.0</v>
      </c>
      <c r="X39" s="82">
        <v>0.0</v>
      </c>
      <c r="Y39" s="82">
        <v>0.0</v>
      </c>
      <c r="Z39" s="83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68">
        <v>0.0</v>
      </c>
      <c r="D40" s="69">
        <v>0.0</v>
      </c>
      <c r="E40" s="69">
        <v>0.0</v>
      </c>
      <c r="F40" s="70">
        <v>0.0</v>
      </c>
      <c r="G40" s="71">
        <f t="shared" si="1"/>
        <v>0</v>
      </c>
      <c r="H40" s="72">
        <v>0.0</v>
      </c>
      <c r="I40" s="73">
        <v>0.0</v>
      </c>
      <c r="J40" s="73">
        <v>0.0</v>
      </c>
      <c r="K40" s="7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78">
        <v>0.0</v>
      </c>
      <c r="S40" s="79">
        <v>0.0</v>
      </c>
      <c r="T40" s="79">
        <v>0.0</v>
      </c>
      <c r="U40" s="80">
        <v>0.0</v>
      </c>
      <c r="V40" s="71">
        <f t="shared" si="4"/>
        <v>0</v>
      </c>
      <c r="W40" s="81">
        <v>0.0</v>
      </c>
      <c r="X40" s="82">
        <v>0.0</v>
      </c>
      <c r="Y40" s="82">
        <v>0.0</v>
      </c>
      <c r="Z40" s="83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68">
        <v>0.0</v>
      </c>
      <c r="D41" s="69">
        <v>0.0</v>
      </c>
      <c r="E41" s="69">
        <v>0.0</v>
      </c>
      <c r="F41" s="70">
        <v>0.0</v>
      </c>
      <c r="G41" s="71">
        <f t="shared" si="1"/>
        <v>0</v>
      </c>
      <c r="H41" s="72">
        <v>0.0</v>
      </c>
      <c r="I41" s="73">
        <v>0.0</v>
      </c>
      <c r="J41" s="73">
        <v>0.0</v>
      </c>
      <c r="K41" s="7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78">
        <v>0.0</v>
      </c>
      <c r="S41" s="79">
        <v>0.0</v>
      </c>
      <c r="T41" s="79">
        <v>0.0</v>
      </c>
      <c r="U41" s="80">
        <v>0.0</v>
      </c>
      <c r="V41" s="71">
        <f t="shared" si="4"/>
        <v>0</v>
      </c>
      <c r="W41" s="81">
        <v>0.0</v>
      </c>
      <c r="X41" s="82">
        <v>0.0</v>
      </c>
      <c r="Y41" s="82">
        <v>0.0</v>
      </c>
      <c r="Z41" s="83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68">
        <v>0.0</v>
      </c>
      <c r="D42" s="69">
        <v>0.0</v>
      </c>
      <c r="E42" s="69">
        <v>0.0</v>
      </c>
      <c r="F42" s="70">
        <v>0.0</v>
      </c>
      <c r="G42" s="71">
        <f t="shared" si="1"/>
        <v>0</v>
      </c>
      <c r="H42" s="72">
        <v>0.0</v>
      </c>
      <c r="I42" s="73">
        <v>0.0</v>
      </c>
      <c r="J42" s="73">
        <v>0.0</v>
      </c>
      <c r="K42" s="7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78">
        <v>0.0</v>
      </c>
      <c r="S42" s="79">
        <v>0.0</v>
      </c>
      <c r="T42" s="79">
        <v>0.0</v>
      </c>
      <c r="U42" s="80">
        <v>0.0</v>
      </c>
      <c r="V42" s="71">
        <f t="shared" si="4"/>
        <v>0</v>
      </c>
      <c r="W42" s="81">
        <v>0.0</v>
      </c>
      <c r="X42" s="82">
        <v>0.0</v>
      </c>
      <c r="Y42" s="82">
        <v>0.0</v>
      </c>
      <c r="Z42" s="83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68">
        <v>0.0</v>
      </c>
      <c r="D43" s="69">
        <v>0.0</v>
      </c>
      <c r="E43" s="69">
        <v>0.0</v>
      </c>
      <c r="F43" s="70">
        <v>0.0</v>
      </c>
      <c r="G43" s="71">
        <f t="shared" si="1"/>
        <v>0</v>
      </c>
      <c r="H43" s="72">
        <v>0.0</v>
      </c>
      <c r="I43" s="73">
        <v>0.0</v>
      </c>
      <c r="J43" s="73">
        <v>0.0</v>
      </c>
      <c r="K43" s="7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78">
        <v>0.0</v>
      </c>
      <c r="S43" s="79">
        <v>0.0</v>
      </c>
      <c r="T43" s="79">
        <v>0.0</v>
      </c>
      <c r="U43" s="80">
        <v>0.0</v>
      </c>
      <c r="V43" s="71">
        <f t="shared" si="4"/>
        <v>0</v>
      </c>
      <c r="W43" s="81">
        <v>0.0</v>
      </c>
      <c r="X43" s="82">
        <v>0.0</v>
      </c>
      <c r="Y43" s="82">
        <v>0.0</v>
      </c>
      <c r="Z43" s="83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68">
        <v>0.0</v>
      </c>
      <c r="D44" s="69">
        <v>0.0</v>
      </c>
      <c r="E44" s="69">
        <v>0.0</v>
      </c>
      <c r="F44" s="70">
        <v>0.0</v>
      </c>
      <c r="G44" s="71">
        <f t="shared" si="1"/>
        <v>0</v>
      </c>
      <c r="H44" s="72">
        <v>0.0</v>
      </c>
      <c r="I44" s="73">
        <v>0.0</v>
      </c>
      <c r="J44" s="73">
        <v>0.0</v>
      </c>
      <c r="K44" s="7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78">
        <v>0.0</v>
      </c>
      <c r="S44" s="79">
        <v>0.0</v>
      </c>
      <c r="T44" s="79">
        <v>0.0</v>
      </c>
      <c r="U44" s="80">
        <v>0.0</v>
      </c>
      <c r="V44" s="71">
        <f t="shared" si="4"/>
        <v>0</v>
      </c>
      <c r="W44" s="81">
        <v>0.0</v>
      </c>
      <c r="X44" s="82">
        <v>0.0</v>
      </c>
      <c r="Y44" s="82">
        <v>0.0</v>
      </c>
      <c r="Z44" s="83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68">
        <v>0.0</v>
      </c>
      <c r="D45" s="69">
        <v>0.0</v>
      </c>
      <c r="E45" s="69">
        <v>0.0</v>
      </c>
      <c r="F45" s="70">
        <v>0.0</v>
      </c>
      <c r="G45" s="71">
        <f t="shared" si="1"/>
        <v>0</v>
      </c>
      <c r="H45" s="72">
        <v>0.0</v>
      </c>
      <c r="I45" s="73">
        <v>0.0</v>
      </c>
      <c r="J45" s="73">
        <v>0.0</v>
      </c>
      <c r="K45" s="7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78">
        <v>0.0</v>
      </c>
      <c r="S45" s="79">
        <v>0.0</v>
      </c>
      <c r="T45" s="79">
        <v>0.0</v>
      </c>
      <c r="U45" s="80">
        <v>0.0</v>
      </c>
      <c r="V45" s="71">
        <f t="shared" si="4"/>
        <v>0</v>
      </c>
      <c r="W45" s="81">
        <v>0.0</v>
      </c>
      <c r="X45" s="82">
        <v>0.0</v>
      </c>
      <c r="Y45" s="82">
        <v>0.0</v>
      </c>
      <c r="Z45" s="83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68">
        <v>0.0</v>
      </c>
      <c r="D46" s="69">
        <v>0.0</v>
      </c>
      <c r="E46" s="69">
        <v>0.0</v>
      </c>
      <c r="F46" s="70">
        <v>0.0</v>
      </c>
      <c r="G46" s="71">
        <f t="shared" si="1"/>
        <v>0</v>
      </c>
      <c r="H46" s="72">
        <v>0.0</v>
      </c>
      <c r="I46" s="73">
        <v>0.0</v>
      </c>
      <c r="J46" s="73">
        <v>0.0</v>
      </c>
      <c r="K46" s="7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78">
        <v>0.0</v>
      </c>
      <c r="S46" s="79">
        <v>0.0</v>
      </c>
      <c r="T46" s="79">
        <v>0.0</v>
      </c>
      <c r="U46" s="80">
        <v>0.0</v>
      </c>
      <c r="V46" s="71">
        <f t="shared" si="4"/>
        <v>0</v>
      </c>
      <c r="W46" s="81">
        <v>0.0</v>
      </c>
      <c r="X46" s="82">
        <v>0.0</v>
      </c>
      <c r="Y46" s="82">
        <v>0.0</v>
      </c>
      <c r="Z46" s="83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68">
        <v>0.0</v>
      </c>
      <c r="D47" s="69">
        <v>0.0</v>
      </c>
      <c r="E47" s="69">
        <v>0.0</v>
      </c>
      <c r="F47" s="70">
        <v>0.0</v>
      </c>
      <c r="G47" s="71">
        <f t="shared" si="1"/>
        <v>0</v>
      </c>
      <c r="H47" s="72">
        <v>0.0</v>
      </c>
      <c r="I47" s="73">
        <v>0.0</v>
      </c>
      <c r="J47" s="73">
        <v>0.0</v>
      </c>
      <c r="K47" s="7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78">
        <v>0.0</v>
      </c>
      <c r="S47" s="79">
        <v>0.0</v>
      </c>
      <c r="T47" s="79">
        <v>0.0</v>
      </c>
      <c r="U47" s="80">
        <v>0.0</v>
      </c>
      <c r="V47" s="71">
        <f t="shared" si="4"/>
        <v>0</v>
      </c>
      <c r="W47" s="81">
        <v>0.0</v>
      </c>
      <c r="X47" s="82">
        <v>0.0</v>
      </c>
      <c r="Y47" s="82">
        <v>0.0</v>
      </c>
      <c r="Z47" s="83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68">
        <v>0.0</v>
      </c>
      <c r="D48" s="69">
        <v>0.0</v>
      </c>
      <c r="E48" s="69">
        <v>0.0</v>
      </c>
      <c r="F48" s="70">
        <v>0.0</v>
      </c>
      <c r="G48" s="71">
        <f t="shared" si="1"/>
        <v>0</v>
      </c>
      <c r="H48" s="72">
        <v>0.0</v>
      </c>
      <c r="I48" s="73">
        <v>0.0</v>
      </c>
      <c r="J48" s="73">
        <v>0.0</v>
      </c>
      <c r="K48" s="7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78">
        <v>0.0</v>
      </c>
      <c r="S48" s="79">
        <v>0.0</v>
      </c>
      <c r="T48" s="79">
        <v>0.0</v>
      </c>
      <c r="U48" s="80">
        <v>0.0</v>
      </c>
      <c r="V48" s="71">
        <f t="shared" si="4"/>
        <v>0</v>
      </c>
      <c r="W48" s="81">
        <v>0.0</v>
      </c>
      <c r="X48" s="82">
        <v>0.0</v>
      </c>
      <c r="Y48" s="82">
        <v>0.0</v>
      </c>
      <c r="Z48" s="83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68">
        <v>0.0</v>
      </c>
      <c r="D49" s="69">
        <v>0.0</v>
      </c>
      <c r="E49" s="69">
        <v>0.0</v>
      </c>
      <c r="F49" s="70">
        <v>0.0</v>
      </c>
      <c r="G49" s="71">
        <f t="shared" si="1"/>
        <v>0</v>
      </c>
      <c r="H49" s="72">
        <v>0.0</v>
      </c>
      <c r="I49" s="73">
        <v>0.0</v>
      </c>
      <c r="J49" s="73">
        <v>0.0</v>
      </c>
      <c r="K49" s="7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78">
        <v>0.0</v>
      </c>
      <c r="S49" s="79">
        <v>0.0</v>
      </c>
      <c r="T49" s="79">
        <v>0.0</v>
      </c>
      <c r="U49" s="80">
        <v>0.0</v>
      </c>
      <c r="V49" s="71">
        <f t="shared" si="4"/>
        <v>0</v>
      </c>
      <c r="W49" s="81">
        <v>0.0</v>
      </c>
      <c r="X49" s="82">
        <v>0.0</v>
      </c>
      <c r="Y49" s="82">
        <v>0.0</v>
      </c>
      <c r="Z49" s="83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68">
        <v>0.0</v>
      </c>
      <c r="D50" s="69">
        <v>0.0</v>
      </c>
      <c r="E50" s="69">
        <v>0.0</v>
      </c>
      <c r="F50" s="70">
        <v>0.0</v>
      </c>
      <c r="G50" s="71">
        <f t="shared" si="1"/>
        <v>0</v>
      </c>
      <c r="H50" s="72">
        <v>0.0</v>
      </c>
      <c r="I50" s="73">
        <v>0.0</v>
      </c>
      <c r="J50" s="73">
        <v>0.0</v>
      </c>
      <c r="K50" s="7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78">
        <v>0.0</v>
      </c>
      <c r="S50" s="79">
        <v>0.0</v>
      </c>
      <c r="T50" s="79">
        <v>0.0</v>
      </c>
      <c r="U50" s="80">
        <v>0.0</v>
      </c>
      <c r="V50" s="71">
        <f t="shared" si="4"/>
        <v>0</v>
      </c>
      <c r="W50" s="81">
        <v>0.0</v>
      </c>
      <c r="X50" s="82">
        <v>0.0</v>
      </c>
      <c r="Y50" s="82">
        <v>0.0</v>
      </c>
      <c r="Z50" s="83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68">
        <v>0.0</v>
      </c>
      <c r="D51" s="69">
        <v>0.0</v>
      </c>
      <c r="E51" s="69">
        <v>0.0</v>
      </c>
      <c r="F51" s="70">
        <v>0.0</v>
      </c>
      <c r="G51" s="71">
        <f t="shared" si="1"/>
        <v>0</v>
      </c>
      <c r="H51" s="72">
        <v>0.0</v>
      </c>
      <c r="I51" s="73">
        <v>0.0</v>
      </c>
      <c r="J51" s="73">
        <v>0.0</v>
      </c>
      <c r="K51" s="7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78">
        <v>0.0</v>
      </c>
      <c r="S51" s="79">
        <v>0.0</v>
      </c>
      <c r="T51" s="79">
        <v>0.0</v>
      </c>
      <c r="U51" s="80">
        <v>0.0</v>
      </c>
      <c r="V51" s="71">
        <f t="shared" si="4"/>
        <v>0</v>
      </c>
      <c r="W51" s="81">
        <v>0.0</v>
      </c>
      <c r="X51" s="82">
        <v>0.0</v>
      </c>
      <c r="Y51" s="82">
        <v>0.0</v>
      </c>
      <c r="Z51" s="83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68">
        <v>0.0</v>
      </c>
      <c r="D52" s="69">
        <v>0.0</v>
      </c>
      <c r="E52" s="69">
        <v>0.0</v>
      </c>
      <c r="F52" s="70">
        <v>0.0</v>
      </c>
      <c r="G52" s="71">
        <f t="shared" si="1"/>
        <v>0</v>
      </c>
      <c r="H52" s="72">
        <v>0.0</v>
      </c>
      <c r="I52" s="73">
        <v>0.0</v>
      </c>
      <c r="J52" s="73">
        <v>0.0</v>
      </c>
      <c r="K52" s="7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78">
        <v>0.0</v>
      </c>
      <c r="S52" s="79">
        <v>0.0</v>
      </c>
      <c r="T52" s="79">
        <v>0.0</v>
      </c>
      <c r="U52" s="80">
        <v>0.0</v>
      </c>
      <c r="V52" s="71">
        <f t="shared" si="4"/>
        <v>0</v>
      </c>
      <c r="W52" s="81">
        <v>0.0</v>
      </c>
      <c r="X52" s="82">
        <v>0.0</v>
      </c>
      <c r="Y52" s="82">
        <v>0.0</v>
      </c>
      <c r="Z52" s="83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68">
        <v>0.0</v>
      </c>
      <c r="D53" s="69">
        <v>0.0</v>
      </c>
      <c r="E53" s="69">
        <v>0.0</v>
      </c>
      <c r="F53" s="70">
        <v>0.0</v>
      </c>
      <c r="G53" s="71">
        <f t="shared" si="1"/>
        <v>0</v>
      </c>
      <c r="H53" s="72">
        <v>0.0</v>
      </c>
      <c r="I53" s="73">
        <v>0.0</v>
      </c>
      <c r="J53" s="73">
        <v>0.0</v>
      </c>
      <c r="K53" s="7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78">
        <v>0.0</v>
      </c>
      <c r="S53" s="79">
        <v>0.0</v>
      </c>
      <c r="T53" s="79">
        <v>0.0</v>
      </c>
      <c r="U53" s="80">
        <v>0.0</v>
      </c>
      <c r="V53" s="71">
        <f t="shared" si="4"/>
        <v>0</v>
      </c>
      <c r="W53" s="81">
        <v>0.0</v>
      </c>
      <c r="X53" s="82">
        <v>0.0</v>
      </c>
      <c r="Y53" s="82">
        <v>0.0</v>
      </c>
      <c r="Z53" s="83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68">
        <v>0.0</v>
      </c>
      <c r="D54" s="69">
        <v>0.0</v>
      </c>
      <c r="E54" s="69">
        <v>0.0</v>
      </c>
      <c r="F54" s="70">
        <v>0.0</v>
      </c>
      <c r="G54" s="71">
        <f t="shared" si="1"/>
        <v>0</v>
      </c>
      <c r="H54" s="72">
        <v>0.0</v>
      </c>
      <c r="I54" s="73">
        <v>0.0</v>
      </c>
      <c r="J54" s="73">
        <v>0.0</v>
      </c>
      <c r="K54" s="7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78">
        <v>0.0</v>
      </c>
      <c r="S54" s="79">
        <v>0.0</v>
      </c>
      <c r="T54" s="79">
        <v>0.0</v>
      </c>
      <c r="U54" s="80">
        <v>0.0</v>
      </c>
      <c r="V54" s="71">
        <f t="shared" si="4"/>
        <v>0</v>
      </c>
      <c r="W54" s="81">
        <v>0.0</v>
      </c>
      <c r="X54" s="82">
        <v>0.0</v>
      </c>
      <c r="Y54" s="82">
        <v>0.0</v>
      </c>
      <c r="Z54" s="83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68">
        <v>0.0</v>
      </c>
      <c r="D55" s="69">
        <v>0.0</v>
      </c>
      <c r="E55" s="69">
        <v>0.0</v>
      </c>
      <c r="F55" s="70">
        <v>0.0</v>
      </c>
      <c r="G55" s="71">
        <f t="shared" si="1"/>
        <v>0</v>
      </c>
      <c r="H55" s="72">
        <v>0.0</v>
      </c>
      <c r="I55" s="73">
        <v>0.0</v>
      </c>
      <c r="J55" s="73">
        <v>0.0</v>
      </c>
      <c r="K55" s="7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78">
        <v>0.0</v>
      </c>
      <c r="S55" s="79">
        <v>0.0</v>
      </c>
      <c r="T55" s="79">
        <v>0.0</v>
      </c>
      <c r="U55" s="80">
        <v>0.0</v>
      </c>
      <c r="V55" s="71">
        <f t="shared" si="4"/>
        <v>0</v>
      </c>
      <c r="W55" s="81">
        <v>0.0</v>
      </c>
      <c r="X55" s="82">
        <v>0.0</v>
      </c>
      <c r="Y55" s="82">
        <v>0.0</v>
      </c>
      <c r="Z55" s="83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68">
        <v>0.0</v>
      </c>
      <c r="D56" s="69">
        <v>0.0</v>
      </c>
      <c r="E56" s="69">
        <v>0.0</v>
      </c>
      <c r="F56" s="70">
        <v>0.0</v>
      </c>
      <c r="G56" s="71">
        <f t="shared" si="1"/>
        <v>0</v>
      </c>
      <c r="H56" s="72">
        <v>0.0</v>
      </c>
      <c r="I56" s="73">
        <v>0.0</v>
      </c>
      <c r="J56" s="73">
        <v>0.0</v>
      </c>
      <c r="K56" s="7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78">
        <v>0.0</v>
      </c>
      <c r="S56" s="79">
        <v>0.0</v>
      </c>
      <c r="T56" s="79">
        <v>0.0</v>
      </c>
      <c r="U56" s="80">
        <v>0.0</v>
      </c>
      <c r="V56" s="71">
        <f t="shared" si="4"/>
        <v>0</v>
      </c>
      <c r="W56" s="81">
        <v>0.0</v>
      </c>
      <c r="X56" s="82">
        <v>0.0</v>
      </c>
      <c r="Y56" s="82">
        <v>0.0</v>
      </c>
      <c r="Z56" s="83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68">
        <v>0.0</v>
      </c>
      <c r="D57" s="69">
        <v>0.0</v>
      </c>
      <c r="E57" s="69">
        <v>0.0</v>
      </c>
      <c r="F57" s="70">
        <v>0.0</v>
      </c>
      <c r="G57" s="71">
        <f t="shared" si="1"/>
        <v>0</v>
      </c>
      <c r="H57" s="72">
        <v>0.0</v>
      </c>
      <c r="I57" s="73">
        <v>0.0</v>
      </c>
      <c r="J57" s="73">
        <v>0.0</v>
      </c>
      <c r="K57" s="7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78">
        <v>0.0</v>
      </c>
      <c r="S57" s="79">
        <v>0.0</v>
      </c>
      <c r="T57" s="79">
        <v>0.0</v>
      </c>
      <c r="U57" s="80">
        <v>0.0</v>
      </c>
      <c r="V57" s="71">
        <f t="shared" si="4"/>
        <v>0</v>
      </c>
      <c r="W57" s="81">
        <v>0.0</v>
      </c>
      <c r="X57" s="82">
        <v>0.0</v>
      </c>
      <c r="Y57" s="82">
        <v>0.0</v>
      </c>
      <c r="Z57" s="83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68">
        <v>0.0</v>
      </c>
      <c r="D58" s="69">
        <v>0.0</v>
      </c>
      <c r="E58" s="69">
        <v>0.0</v>
      </c>
      <c r="F58" s="70">
        <v>0.0</v>
      </c>
      <c r="G58" s="71">
        <f t="shared" si="1"/>
        <v>0</v>
      </c>
      <c r="H58" s="72">
        <v>0.0</v>
      </c>
      <c r="I58" s="73">
        <v>0.0</v>
      </c>
      <c r="J58" s="73">
        <v>0.0</v>
      </c>
      <c r="K58" s="7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78">
        <v>0.0</v>
      </c>
      <c r="S58" s="79">
        <v>0.0</v>
      </c>
      <c r="T58" s="79">
        <v>0.0</v>
      </c>
      <c r="U58" s="80">
        <v>0.0</v>
      </c>
      <c r="V58" s="71">
        <f t="shared" si="4"/>
        <v>0</v>
      </c>
      <c r="W58" s="81">
        <v>0.0</v>
      </c>
      <c r="X58" s="82">
        <v>0.0</v>
      </c>
      <c r="Y58" s="82">
        <v>0.0</v>
      </c>
      <c r="Z58" s="83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88">
        <v>0.0</v>
      </c>
      <c r="D59" s="89">
        <v>0.0</v>
      </c>
      <c r="E59" s="89">
        <v>0.0</v>
      </c>
      <c r="F59" s="90">
        <v>0.0</v>
      </c>
      <c r="G59" s="91">
        <f t="shared" si="1"/>
        <v>0</v>
      </c>
      <c r="H59" s="92">
        <v>0.0</v>
      </c>
      <c r="I59" s="93">
        <v>0.0</v>
      </c>
      <c r="J59" s="93">
        <v>0.0</v>
      </c>
      <c r="K59" s="9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98">
        <v>0.0</v>
      </c>
      <c r="S59" s="99">
        <v>0.0</v>
      </c>
      <c r="T59" s="99">
        <v>0.0</v>
      </c>
      <c r="U59" s="100">
        <v>0.0</v>
      </c>
      <c r="V59" s="91">
        <f t="shared" si="4"/>
        <v>0</v>
      </c>
      <c r="W59" s="101">
        <v>0.0</v>
      </c>
      <c r="X59" s="102">
        <v>0.0</v>
      </c>
      <c r="Y59" s="102">
        <v>0.0</v>
      </c>
      <c r="Z59" s="103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H65" s="105"/>
      <c r="I65" s="105"/>
      <c r="J65" s="105"/>
      <c r="K65" s="177"/>
      <c r="L65" s="177"/>
      <c r="M65" s="177"/>
      <c r="N65" s="177"/>
      <c r="O65" s="177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H66" s="105"/>
      <c r="I66" s="105"/>
      <c r="J66" s="105"/>
      <c r="K66" s="178"/>
      <c r="L66" s="179"/>
      <c r="M66" s="179"/>
      <c r="N66" s="179"/>
      <c r="O66" s="179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H67" s="105"/>
      <c r="I67" s="105"/>
      <c r="J67" s="105"/>
      <c r="K67" s="178"/>
      <c r="L67" s="179"/>
      <c r="M67" s="179"/>
      <c r="N67" s="179"/>
      <c r="O67" s="179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H68" s="105"/>
      <c r="I68" s="105"/>
      <c r="J68" s="105"/>
      <c r="K68" s="178"/>
      <c r="L68" s="179"/>
      <c r="M68" s="179"/>
      <c r="N68" s="179"/>
      <c r="O68" s="179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H69" s="105"/>
      <c r="I69" s="105"/>
      <c r="J69" s="105"/>
      <c r="K69" s="178"/>
      <c r="L69" s="179"/>
      <c r="M69" s="179"/>
      <c r="N69" s="179"/>
      <c r="O69" s="179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39" t="s">
        <v>250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40"/>
      <c r="AD1" s="4"/>
      <c r="AE1" s="135"/>
      <c r="AF1" s="135"/>
      <c r="AG1" s="135"/>
      <c r="AH1" s="135"/>
    </row>
    <row r="2" ht="24.75" customHeight="1">
      <c r="A2" s="139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40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24" t="s">
        <v>5</v>
      </c>
      <c r="B6" s="180" t="s">
        <v>6</v>
      </c>
      <c r="C6" s="17" t="s">
        <v>147</v>
      </c>
      <c r="D6" s="15"/>
      <c r="E6" s="15"/>
      <c r="F6" s="15"/>
      <c r="G6" s="16"/>
      <c r="H6" s="17" t="s">
        <v>251</v>
      </c>
      <c r="I6" s="15"/>
      <c r="J6" s="15"/>
      <c r="K6" s="15"/>
      <c r="L6" s="16"/>
      <c r="M6" s="14" t="s">
        <v>10</v>
      </c>
      <c r="N6" s="15"/>
      <c r="O6" s="15"/>
      <c r="P6" s="15"/>
      <c r="Q6" s="16"/>
      <c r="R6" s="17" t="s">
        <v>252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7" t="s">
        <v>253</v>
      </c>
      <c r="AC6" s="15"/>
      <c r="AD6" s="4"/>
      <c r="AE6" s="19"/>
      <c r="AF6" s="19"/>
      <c r="AG6" s="19"/>
      <c r="AH6" s="19"/>
    </row>
    <row r="7" ht="51.75" customHeight="1">
      <c r="A7" s="125"/>
      <c r="B7" s="181"/>
      <c r="C7" s="117" t="s">
        <v>13</v>
      </c>
      <c r="D7" s="117" t="s">
        <v>14</v>
      </c>
      <c r="E7" s="117" t="s">
        <v>15</v>
      </c>
      <c r="F7" s="117" t="s">
        <v>16</v>
      </c>
      <c r="G7" s="24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182"/>
      <c r="AC7" s="182"/>
      <c r="AD7" s="28"/>
      <c r="AE7" s="29"/>
      <c r="AF7" s="29"/>
      <c r="AG7" s="29"/>
      <c r="AH7" s="29"/>
    </row>
    <row r="8" ht="199.5" customHeight="1">
      <c r="A8" s="125"/>
      <c r="B8" s="183"/>
      <c r="C8" s="149" t="s">
        <v>254</v>
      </c>
      <c r="D8" s="149" t="s">
        <v>255</v>
      </c>
      <c r="E8" s="149" t="s">
        <v>256</v>
      </c>
      <c r="F8" s="149" t="s">
        <v>257</v>
      </c>
      <c r="G8" s="30"/>
      <c r="H8" s="152" t="s">
        <v>258</v>
      </c>
      <c r="I8" s="152" t="s">
        <v>259</v>
      </c>
      <c r="J8" s="152" t="s">
        <v>260</v>
      </c>
      <c r="K8" s="152" t="s">
        <v>261</v>
      </c>
      <c r="L8" s="30"/>
      <c r="M8" s="173" t="s">
        <v>231</v>
      </c>
      <c r="N8" s="173" t="s">
        <v>211</v>
      </c>
      <c r="O8" s="173" t="s">
        <v>212</v>
      </c>
      <c r="P8" s="173" t="s">
        <v>213</v>
      </c>
      <c r="Q8" s="30"/>
      <c r="R8" s="154" t="s">
        <v>262</v>
      </c>
      <c r="S8" s="154" t="s">
        <v>263</v>
      </c>
      <c r="T8" s="154" t="s">
        <v>264</v>
      </c>
      <c r="U8" s="154" t="s">
        <v>265</v>
      </c>
      <c r="V8" s="30"/>
      <c r="W8" s="156" t="s">
        <v>214</v>
      </c>
      <c r="X8" s="156" t="s">
        <v>215</v>
      </c>
      <c r="Y8" s="156" t="s">
        <v>216</v>
      </c>
      <c r="Z8" s="156" t="s">
        <v>217</v>
      </c>
      <c r="AA8" s="30"/>
      <c r="AB8" s="184"/>
      <c r="AC8" s="184"/>
      <c r="AD8" s="40"/>
      <c r="AE8" s="41"/>
      <c r="AF8" s="41"/>
      <c r="AG8" s="41"/>
      <c r="AH8" s="41"/>
    </row>
    <row r="9" ht="24.75" customHeight="1">
      <c r="A9" s="126"/>
      <c r="B9" s="185"/>
      <c r="C9" s="136">
        <v>2.0</v>
      </c>
      <c r="D9" s="136">
        <v>3.0</v>
      </c>
      <c r="E9" s="136">
        <v>4.0</v>
      </c>
      <c r="F9" s="136">
        <v>5.0</v>
      </c>
      <c r="G9" s="186" t="s">
        <v>38</v>
      </c>
      <c r="H9" s="144">
        <v>2.0</v>
      </c>
      <c r="I9" s="187">
        <v>3.0</v>
      </c>
      <c r="J9" s="187">
        <v>4.0</v>
      </c>
      <c r="K9" s="187">
        <v>5.0</v>
      </c>
      <c r="L9" s="186" t="s">
        <v>38</v>
      </c>
      <c r="M9" s="137">
        <v>2.0</v>
      </c>
      <c r="N9" s="188">
        <v>3.0</v>
      </c>
      <c r="O9" s="137">
        <v>4.0</v>
      </c>
      <c r="P9" s="188">
        <v>5.0</v>
      </c>
      <c r="Q9" s="189" t="s">
        <v>38</v>
      </c>
      <c r="R9" s="138">
        <v>2.0</v>
      </c>
      <c r="S9" s="138">
        <v>3.0</v>
      </c>
      <c r="T9" s="138">
        <v>4.0</v>
      </c>
      <c r="U9" s="138">
        <v>5.0</v>
      </c>
      <c r="V9" s="189" t="s">
        <v>38</v>
      </c>
      <c r="W9" s="39">
        <v>2.0</v>
      </c>
      <c r="X9" s="39">
        <v>3.0</v>
      </c>
      <c r="Y9" s="39">
        <v>4.0</v>
      </c>
      <c r="Z9" s="39">
        <v>5.0</v>
      </c>
      <c r="AA9" s="190" t="s">
        <v>38</v>
      </c>
      <c r="AB9" s="190" t="s">
        <v>39</v>
      </c>
      <c r="AC9" s="190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191"/>
      <c r="C10" s="136">
        <v>0.0</v>
      </c>
      <c r="D10" s="136">
        <v>0.0</v>
      </c>
      <c r="E10" s="136">
        <v>0.0</v>
      </c>
      <c r="F10" s="136">
        <v>0.0</v>
      </c>
      <c r="G10" s="192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192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193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193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194">
        <f t="shared" ref="AA10:AA59" si="5">SUM(W10:Z10)</f>
        <v>0</v>
      </c>
      <c r="AB10" s="195">
        <f t="shared" ref="AB10:AB59" si="6">G10+L10+Q10+AA10+AA10</f>
        <v>0</v>
      </c>
      <c r="AC10" s="196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191"/>
      <c r="C11" s="136">
        <v>0.0</v>
      </c>
      <c r="D11" s="136">
        <v>0.0</v>
      </c>
      <c r="E11" s="136">
        <v>0.0</v>
      </c>
      <c r="F11" s="136">
        <v>0.0</v>
      </c>
      <c r="G11" s="197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197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193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193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198">
        <f t="shared" si="5"/>
        <v>0</v>
      </c>
      <c r="AB11" s="199">
        <f t="shared" si="6"/>
        <v>0</v>
      </c>
      <c r="AC11" s="200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201"/>
      <c r="C12" s="136">
        <v>0.0</v>
      </c>
      <c r="D12" s="136">
        <v>0.0</v>
      </c>
      <c r="E12" s="136">
        <v>0.0</v>
      </c>
      <c r="F12" s="136">
        <v>0.0</v>
      </c>
      <c r="G12" s="197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197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193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193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198">
        <f t="shared" si="5"/>
        <v>0</v>
      </c>
      <c r="AB12" s="199">
        <f t="shared" si="6"/>
        <v>0</v>
      </c>
      <c r="AC12" s="200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201"/>
      <c r="C13" s="136">
        <v>0.0</v>
      </c>
      <c r="D13" s="136">
        <v>0.0</v>
      </c>
      <c r="E13" s="136">
        <v>0.0</v>
      </c>
      <c r="F13" s="136">
        <v>0.0</v>
      </c>
      <c r="G13" s="197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197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193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193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198">
        <f t="shared" si="5"/>
        <v>0</v>
      </c>
      <c r="AB13" s="199">
        <f t="shared" si="6"/>
        <v>0</v>
      </c>
      <c r="AC13" s="200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201"/>
      <c r="C14" s="136">
        <v>0.0</v>
      </c>
      <c r="D14" s="136">
        <v>0.0</v>
      </c>
      <c r="E14" s="136">
        <v>0.0</v>
      </c>
      <c r="F14" s="136">
        <v>0.0</v>
      </c>
      <c r="G14" s="197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197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193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193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198">
        <f t="shared" si="5"/>
        <v>0</v>
      </c>
      <c r="AB14" s="199">
        <f t="shared" si="6"/>
        <v>0</v>
      </c>
      <c r="AC14" s="200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201"/>
      <c r="C15" s="136">
        <v>0.0</v>
      </c>
      <c r="D15" s="136">
        <v>0.0</v>
      </c>
      <c r="E15" s="136">
        <v>0.0</v>
      </c>
      <c r="F15" s="136">
        <v>0.0</v>
      </c>
      <c r="G15" s="197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197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193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193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198">
        <f t="shared" si="5"/>
        <v>0</v>
      </c>
      <c r="AB15" s="199">
        <f t="shared" si="6"/>
        <v>0</v>
      </c>
      <c r="AC15" s="200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201"/>
      <c r="C16" s="136">
        <v>0.0</v>
      </c>
      <c r="D16" s="136">
        <v>0.0</v>
      </c>
      <c r="E16" s="136">
        <v>0.0</v>
      </c>
      <c r="F16" s="136">
        <v>0.0</v>
      </c>
      <c r="G16" s="197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197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193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193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198">
        <f t="shared" si="5"/>
        <v>0</v>
      </c>
      <c r="AB16" s="199">
        <f t="shared" si="6"/>
        <v>0</v>
      </c>
      <c r="AC16" s="200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201"/>
      <c r="C17" s="136">
        <v>0.0</v>
      </c>
      <c r="D17" s="136">
        <v>0.0</v>
      </c>
      <c r="E17" s="136">
        <v>0.0</v>
      </c>
      <c r="F17" s="136">
        <v>0.0</v>
      </c>
      <c r="G17" s="197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197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193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193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198">
        <f t="shared" si="5"/>
        <v>0</v>
      </c>
      <c r="AB17" s="199">
        <f t="shared" si="6"/>
        <v>0</v>
      </c>
      <c r="AC17" s="200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201"/>
      <c r="C18" s="136">
        <v>0.0</v>
      </c>
      <c r="D18" s="136">
        <v>0.0</v>
      </c>
      <c r="E18" s="136">
        <v>0.0</v>
      </c>
      <c r="F18" s="136">
        <v>0.0</v>
      </c>
      <c r="G18" s="197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197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193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193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198">
        <f t="shared" si="5"/>
        <v>0</v>
      </c>
      <c r="AB18" s="199">
        <f t="shared" si="6"/>
        <v>0</v>
      </c>
      <c r="AC18" s="200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201"/>
      <c r="C19" s="136">
        <v>0.0</v>
      </c>
      <c r="D19" s="136">
        <v>0.0</v>
      </c>
      <c r="E19" s="136">
        <v>0.0</v>
      </c>
      <c r="F19" s="136">
        <v>0.0</v>
      </c>
      <c r="G19" s="197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197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193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193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198">
        <f t="shared" si="5"/>
        <v>0</v>
      </c>
      <c r="AB19" s="199">
        <f t="shared" si="6"/>
        <v>0</v>
      </c>
      <c r="AC19" s="200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201"/>
      <c r="C20" s="136">
        <v>0.0</v>
      </c>
      <c r="D20" s="136">
        <v>0.0</v>
      </c>
      <c r="E20" s="136">
        <v>0.0</v>
      </c>
      <c r="F20" s="136">
        <v>0.0</v>
      </c>
      <c r="G20" s="197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197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193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193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198">
        <f t="shared" si="5"/>
        <v>0</v>
      </c>
      <c r="AB20" s="199">
        <f t="shared" si="6"/>
        <v>0</v>
      </c>
      <c r="AC20" s="200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201"/>
      <c r="C21" s="136">
        <v>0.0</v>
      </c>
      <c r="D21" s="136">
        <v>0.0</v>
      </c>
      <c r="E21" s="136">
        <v>0.0</v>
      </c>
      <c r="F21" s="136">
        <v>0.0</v>
      </c>
      <c r="G21" s="197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197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193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193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198">
        <f t="shared" si="5"/>
        <v>0</v>
      </c>
      <c r="AB21" s="199">
        <f t="shared" si="6"/>
        <v>0</v>
      </c>
      <c r="AC21" s="200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201"/>
      <c r="C22" s="136">
        <v>0.0</v>
      </c>
      <c r="D22" s="136">
        <v>0.0</v>
      </c>
      <c r="E22" s="136">
        <v>0.0</v>
      </c>
      <c r="F22" s="136">
        <v>0.0</v>
      </c>
      <c r="G22" s="197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197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193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193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198">
        <f t="shared" si="5"/>
        <v>0</v>
      </c>
      <c r="AB22" s="199">
        <f t="shared" si="6"/>
        <v>0</v>
      </c>
      <c r="AC22" s="200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201"/>
      <c r="C23" s="136">
        <v>0.0</v>
      </c>
      <c r="D23" s="136">
        <v>0.0</v>
      </c>
      <c r="E23" s="136">
        <v>0.0</v>
      </c>
      <c r="F23" s="136">
        <v>0.0</v>
      </c>
      <c r="G23" s="197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197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193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193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198">
        <f t="shared" si="5"/>
        <v>0</v>
      </c>
      <c r="AB23" s="199">
        <f t="shared" si="6"/>
        <v>0</v>
      </c>
      <c r="AC23" s="200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201"/>
      <c r="C24" s="136">
        <v>0.0</v>
      </c>
      <c r="D24" s="136">
        <v>0.0</v>
      </c>
      <c r="E24" s="136">
        <v>0.0</v>
      </c>
      <c r="F24" s="136">
        <v>0.0</v>
      </c>
      <c r="G24" s="197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197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193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193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198">
        <f t="shared" si="5"/>
        <v>0</v>
      </c>
      <c r="AB24" s="199">
        <f t="shared" si="6"/>
        <v>0</v>
      </c>
      <c r="AC24" s="200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201"/>
      <c r="C25" s="136">
        <v>0.0</v>
      </c>
      <c r="D25" s="136">
        <v>0.0</v>
      </c>
      <c r="E25" s="136">
        <v>0.0</v>
      </c>
      <c r="F25" s="136">
        <v>0.0</v>
      </c>
      <c r="G25" s="197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197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193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193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198">
        <f t="shared" si="5"/>
        <v>0</v>
      </c>
      <c r="AB25" s="199">
        <f t="shared" si="6"/>
        <v>0</v>
      </c>
      <c r="AC25" s="200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201"/>
      <c r="C26" s="136">
        <v>0.0</v>
      </c>
      <c r="D26" s="136">
        <v>0.0</v>
      </c>
      <c r="E26" s="136">
        <v>0.0</v>
      </c>
      <c r="F26" s="136">
        <v>0.0</v>
      </c>
      <c r="G26" s="197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197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193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193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198">
        <f t="shared" si="5"/>
        <v>0</v>
      </c>
      <c r="AB26" s="199">
        <f t="shared" si="6"/>
        <v>0</v>
      </c>
      <c r="AC26" s="200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201"/>
      <c r="C27" s="136">
        <v>0.0</v>
      </c>
      <c r="D27" s="136">
        <v>0.0</v>
      </c>
      <c r="E27" s="136">
        <v>0.0</v>
      </c>
      <c r="F27" s="136">
        <v>0.0</v>
      </c>
      <c r="G27" s="197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197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193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193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198">
        <f t="shared" si="5"/>
        <v>0</v>
      </c>
      <c r="AB27" s="199">
        <f t="shared" si="6"/>
        <v>0</v>
      </c>
      <c r="AC27" s="200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201"/>
      <c r="C28" s="136">
        <v>0.0</v>
      </c>
      <c r="D28" s="136">
        <v>0.0</v>
      </c>
      <c r="E28" s="136">
        <v>0.0</v>
      </c>
      <c r="F28" s="136">
        <v>0.0</v>
      </c>
      <c r="G28" s="197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197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193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193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198">
        <f t="shared" si="5"/>
        <v>0</v>
      </c>
      <c r="AB28" s="199">
        <f t="shared" si="6"/>
        <v>0</v>
      </c>
      <c r="AC28" s="200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201"/>
      <c r="C29" s="136">
        <v>0.0</v>
      </c>
      <c r="D29" s="136">
        <v>0.0</v>
      </c>
      <c r="E29" s="136">
        <v>0.0</v>
      </c>
      <c r="F29" s="136">
        <v>0.0</v>
      </c>
      <c r="G29" s="197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197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193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193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198">
        <f t="shared" si="5"/>
        <v>0</v>
      </c>
      <c r="AB29" s="199">
        <f t="shared" si="6"/>
        <v>0</v>
      </c>
      <c r="AC29" s="200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201"/>
      <c r="C30" s="136">
        <v>0.0</v>
      </c>
      <c r="D30" s="136">
        <v>0.0</v>
      </c>
      <c r="E30" s="136">
        <v>0.0</v>
      </c>
      <c r="F30" s="136">
        <v>0.0</v>
      </c>
      <c r="G30" s="197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197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193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193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198">
        <f t="shared" si="5"/>
        <v>0</v>
      </c>
      <c r="AB30" s="199">
        <f t="shared" si="6"/>
        <v>0</v>
      </c>
      <c r="AC30" s="200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201"/>
      <c r="C31" s="136">
        <v>0.0</v>
      </c>
      <c r="D31" s="136">
        <v>0.0</v>
      </c>
      <c r="E31" s="136">
        <v>0.0</v>
      </c>
      <c r="F31" s="136">
        <v>0.0</v>
      </c>
      <c r="G31" s="197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197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193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193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198">
        <f t="shared" si="5"/>
        <v>0</v>
      </c>
      <c r="AB31" s="199">
        <f t="shared" si="6"/>
        <v>0</v>
      </c>
      <c r="AC31" s="200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201"/>
      <c r="C32" s="136">
        <v>0.0</v>
      </c>
      <c r="D32" s="136">
        <v>0.0</v>
      </c>
      <c r="E32" s="136">
        <v>0.0</v>
      </c>
      <c r="F32" s="136">
        <v>0.0</v>
      </c>
      <c r="G32" s="197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197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193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193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198">
        <f t="shared" si="5"/>
        <v>0</v>
      </c>
      <c r="AB32" s="199">
        <f t="shared" si="6"/>
        <v>0</v>
      </c>
      <c r="AC32" s="200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201"/>
      <c r="C33" s="136">
        <v>0.0</v>
      </c>
      <c r="D33" s="136">
        <v>0.0</v>
      </c>
      <c r="E33" s="136">
        <v>0.0</v>
      </c>
      <c r="F33" s="136">
        <v>0.0</v>
      </c>
      <c r="G33" s="197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197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193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193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198">
        <f t="shared" si="5"/>
        <v>0</v>
      </c>
      <c r="AB33" s="199">
        <f t="shared" si="6"/>
        <v>0</v>
      </c>
      <c r="AC33" s="200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201"/>
      <c r="C34" s="136">
        <v>0.0</v>
      </c>
      <c r="D34" s="136">
        <v>0.0</v>
      </c>
      <c r="E34" s="136">
        <v>0.0</v>
      </c>
      <c r="F34" s="136">
        <v>0.0</v>
      </c>
      <c r="G34" s="197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197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193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193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198">
        <f t="shared" si="5"/>
        <v>0</v>
      </c>
      <c r="AB34" s="199">
        <f t="shared" si="6"/>
        <v>0</v>
      </c>
      <c r="AC34" s="200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201"/>
      <c r="C35" s="136">
        <v>0.0</v>
      </c>
      <c r="D35" s="136">
        <v>0.0</v>
      </c>
      <c r="E35" s="136">
        <v>0.0</v>
      </c>
      <c r="F35" s="136">
        <v>0.0</v>
      </c>
      <c r="G35" s="197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197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193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193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198">
        <f t="shared" si="5"/>
        <v>0</v>
      </c>
      <c r="AB35" s="199">
        <f t="shared" si="6"/>
        <v>0</v>
      </c>
      <c r="AC35" s="200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201"/>
      <c r="C36" s="136">
        <v>0.0</v>
      </c>
      <c r="D36" s="136">
        <v>0.0</v>
      </c>
      <c r="E36" s="136">
        <v>0.0</v>
      </c>
      <c r="F36" s="136">
        <v>0.0</v>
      </c>
      <c r="G36" s="197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197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193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193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198">
        <f t="shared" si="5"/>
        <v>0</v>
      </c>
      <c r="AB36" s="199">
        <f t="shared" si="6"/>
        <v>0</v>
      </c>
      <c r="AC36" s="200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201"/>
      <c r="C37" s="136">
        <v>0.0</v>
      </c>
      <c r="D37" s="136">
        <v>0.0</v>
      </c>
      <c r="E37" s="136">
        <v>0.0</v>
      </c>
      <c r="F37" s="136">
        <v>0.0</v>
      </c>
      <c r="G37" s="197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197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193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193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198">
        <f t="shared" si="5"/>
        <v>0</v>
      </c>
      <c r="AB37" s="199">
        <f t="shared" si="6"/>
        <v>0</v>
      </c>
      <c r="AC37" s="200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201"/>
      <c r="C38" s="136">
        <v>0.0</v>
      </c>
      <c r="D38" s="136">
        <v>0.0</v>
      </c>
      <c r="E38" s="136">
        <v>0.0</v>
      </c>
      <c r="F38" s="136">
        <v>0.0</v>
      </c>
      <c r="G38" s="197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197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193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193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198">
        <f t="shared" si="5"/>
        <v>0</v>
      </c>
      <c r="AB38" s="199">
        <f t="shared" si="6"/>
        <v>0</v>
      </c>
      <c r="AC38" s="200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201"/>
      <c r="C39" s="136">
        <v>0.0</v>
      </c>
      <c r="D39" s="136">
        <v>0.0</v>
      </c>
      <c r="E39" s="136">
        <v>0.0</v>
      </c>
      <c r="F39" s="136">
        <v>0.0</v>
      </c>
      <c r="G39" s="197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197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193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193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198">
        <f t="shared" si="5"/>
        <v>0</v>
      </c>
      <c r="AB39" s="199">
        <f t="shared" si="6"/>
        <v>0</v>
      </c>
      <c r="AC39" s="200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201"/>
      <c r="C40" s="136">
        <v>0.0</v>
      </c>
      <c r="D40" s="136">
        <v>0.0</v>
      </c>
      <c r="E40" s="136">
        <v>0.0</v>
      </c>
      <c r="F40" s="136">
        <v>0.0</v>
      </c>
      <c r="G40" s="197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197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193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193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198">
        <f t="shared" si="5"/>
        <v>0</v>
      </c>
      <c r="AB40" s="199">
        <f t="shared" si="6"/>
        <v>0</v>
      </c>
      <c r="AC40" s="200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201"/>
      <c r="C41" s="136">
        <v>0.0</v>
      </c>
      <c r="D41" s="136">
        <v>0.0</v>
      </c>
      <c r="E41" s="136">
        <v>0.0</v>
      </c>
      <c r="F41" s="136">
        <v>0.0</v>
      </c>
      <c r="G41" s="197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197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193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193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198">
        <f t="shared" si="5"/>
        <v>0</v>
      </c>
      <c r="AB41" s="199">
        <f t="shared" si="6"/>
        <v>0</v>
      </c>
      <c r="AC41" s="200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201"/>
      <c r="C42" s="136">
        <v>0.0</v>
      </c>
      <c r="D42" s="136">
        <v>0.0</v>
      </c>
      <c r="E42" s="136">
        <v>0.0</v>
      </c>
      <c r="F42" s="136">
        <v>0.0</v>
      </c>
      <c r="G42" s="197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197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193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193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198">
        <f t="shared" si="5"/>
        <v>0</v>
      </c>
      <c r="AB42" s="199">
        <f t="shared" si="6"/>
        <v>0</v>
      </c>
      <c r="AC42" s="200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201"/>
      <c r="C43" s="136">
        <v>0.0</v>
      </c>
      <c r="D43" s="136">
        <v>0.0</v>
      </c>
      <c r="E43" s="136">
        <v>0.0</v>
      </c>
      <c r="F43" s="136">
        <v>0.0</v>
      </c>
      <c r="G43" s="197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197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193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193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198">
        <f t="shared" si="5"/>
        <v>0</v>
      </c>
      <c r="AB43" s="199">
        <f t="shared" si="6"/>
        <v>0</v>
      </c>
      <c r="AC43" s="200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201"/>
      <c r="C44" s="136">
        <v>0.0</v>
      </c>
      <c r="D44" s="136">
        <v>0.0</v>
      </c>
      <c r="E44" s="136">
        <v>0.0</v>
      </c>
      <c r="F44" s="136">
        <v>0.0</v>
      </c>
      <c r="G44" s="197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197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193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193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198">
        <f t="shared" si="5"/>
        <v>0</v>
      </c>
      <c r="AB44" s="199">
        <f t="shared" si="6"/>
        <v>0</v>
      </c>
      <c r="AC44" s="200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201"/>
      <c r="C45" s="136">
        <v>0.0</v>
      </c>
      <c r="D45" s="136">
        <v>0.0</v>
      </c>
      <c r="E45" s="136">
        <v>0.0</v>
      </c>
      <c r="F45" s="136">
        <v>0.0</v>
      </c>
      <c r="G45" s="197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197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193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193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198">
        <f t="shared" si="5"/>
        <v>0</v>
      </c>
      <c r="AB45" s="199">
        <f t="shared" si="6"/>
        <v>0</v>
      </c>
      <c r="AC45" s="200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201"/>
      <c r="C46" s="136">
        <v>0.0</v>
      </c>
      <c r="D46" s="136">
        <v>0.0</v>
      </c>
      <c r="E46" s="136">
        <v>0.0</v>
      </c>
      <c r="F46" s="136">
        <v>0.0</v>
      </c>
      <c r="G46" s="197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197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193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193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198">
        <f t="shared" si="5"/>
        <v>0</v>
      </c>
      <c r="AB46" s="199">
        <f t="shared" si="6"/>
        <v>0</v>
      </c>
      <c r="AC46" s="200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201"/>
      <c r="C47" s="136">
        <v>0.0</v>
      </c>
      <c r="D47" s="136">
        <v>0.0</v>
      </c>
      <c r="E47" s="136">
        <v>0.0</v>
      </c>
      <c r="F47" s="136">
        <v>0.0</v>
      </c>
      <c r="G47" s="197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197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193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193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198">
        <f t="shared" si="5"/>
        <v>0</v>
      </c>
      <c r="AB47" s="199">
        <f t="shared" si="6"/>
        <v>0</v>
      </c>
      <c r="AC47" s="200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201"/>
      <c r="C48" s="136">
        <v>0.0</v>
      </c>
      <c r="D48" s="136">
        <v>0.0</v>
      </c>
      <c r="E48" s="136">
        <v>0.0</v>
      </c>
      <c r="F48" s="136">
        <v>0.0</v>
      </c>
      <c r="G48" s="197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197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193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193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198">
        <f t="shared" si="5"/>
        <v>0</v>
      </c>
      <c r="AB48" s="199">
        <f t="shared" si="6"/>
        <v>0</v>
      </c>
      <c r="AC48" s="200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201"/>
      <c r="C49" s="136">
        <v>0.0</v>
      </c>
      <c r="D49" s="136">
        <v>0.0</v>
      </c>
      <c r="E49" s="136">
        <v>0.0</v>
      </c>
      <c r="F49" s="136">
        <v>0.0</v>
      </c>
      <c r="G49" s="197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197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193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193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198">
        <f t="shared" si="5"/>
        <v>0</v>
      </c>
      <c r="AB49" s="199">
        <f t="shared" si="6"/>
        <v>0</v>
      </c>
      <c r="AC49" s="200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201"/>
      <c r="C50" s="136">
        <v>0.0</v>
      </c>
      <c r="D50" s="136">
        <v>0.0</v>
      </c>
      <c r="E50" s="136">
        <v>0.0</v>
      </c>
      <c r="F50" s="136">
        <v>0.0</v>
      </c>
      <c r="G50" s="197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197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193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193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198">
        <f t="shared" si="5"/>
        <v>0</v>
      </c>
      <c r="AB50" s="199">
        <f t="shared" si="6"/>
        <v>0</v>
      </c>
      <c r="AC50" s="200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201"/>
      <c r="C51" s="136">
        <v>0.0</v>
      </c>
      <c r="D51" s="136">
        <v>0.0</v>
      </c>
      <c r="E51" s="136">
        <v>0.0</v>
      </c>
      <c r="F51" s="136">
        <v>0.0</v>
      </c>
      <c r="G51" s="197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197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193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193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198">
        <f t="shared" si="5"/>
        <v>0</v>
      </c>
      <c r="AB51" s="199">
        <f t="shared" si="6"/>
        <v>0</v>
      </c>
      <c r="AC51" s="200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201"/>
      <c r="C52" s="136">
        <v>0.0</v>
      </c>
      <c r="D52" s="136">
        <v>0.0</v>
      </c>
      <c r="E52" s="136">
        <v>0.0</v>
      </c>
      <c r="F52" s="136">
        <v>0.0</v>
      </c>
      <c r="G52" s="197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197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193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193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198">
        <f t="shared" si="5"/>
        <v>0</v>
      </c>
      <c r="AB52" s="199">
        <f t="shared" si="6"/>
        <v>0</v>
      </c>
      <c r="AC52" s="200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201"/>
      <c r="C53" s="136">
        <v>0.0</v>
      </c>
      <c r="D53" s="136">
        <v>0.0</v>
      </c>
      <c r="E53" s="136">
        <v>0.0</v>
      </c>
      <c r="F53" s="136">
        <v>0.0</v>
      </c>
      <c r="G53" s="197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197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193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193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198">
        <f t="shared" si="5"/>
        <v>0</v>
      </c>
      <c r="AB53" s="199">
        <f t="shared" si="6"/>
        <v>0</v>
      </c>
      <c r="AC53" s="200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201"/>
      <c r="C54" s="136">
        <v>0.0</v>
      </c>
      <c r="D54" s="136">
        <v>0.0</v>
      </c>
      <c r="E54" s="136">
        <v>0.0</v>
      </c>
      <c r="F54" s="136">
        <v>0.0</v>
      </c>
      <c r="G54" s="197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197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193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193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198">
        <f t="shared" si="5"/>
        <v>0</v>
      </c>
      <c r="AB54" s="199">
        <f t="shared" si="6"/>
        <v>0</v>
      </c>
      <c r="AC54" s="200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201"/>
      <c r="C55" s="136">
        <v>0.0</v>
      </c>
      <c r="D55" s="136">
        <v>0.0</v>
      </c>
      <c r="E55" s="136">
        <v>0.0</v>
      </c>
      <c r="F55" s="136">
        <v>0.0</v>
      </c>
      <c r="G55" s="197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197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193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193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198">
        <f t="shared" si="5"/>
        <v>0</v>
      </c>
      <c r="AB55" s="199">
        <f t="shared" si="6"/>
        <v>0</v>
      </c>
      <c r="AC55" s="200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201"/>
      <c r="C56" s="136">
        <v>0.0</v>
      </c>
      <c r="D56" s="136">
        <v>0.0</v>
      </c>
      <c r="E56" s="136">
        <v>0.0</v>
      </c>
      <c r="F56" s="136">
        <v>0.0</v>
      </c>
      <c r="G56" s="197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197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193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193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198">
        <f t="shared" si="5"/>
        <v>0</v>
      </c>
      <c r="AB56" s="199">
        <f t="shared" si="6"/>
        <v>0</v>
      </c>
      <c r="AC56" s="200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201"/>
      <c r="C57" s="136">
        <v>0.0</v>
      </c>
      <c r="D57" s="136">
        <v>0.0</v>
      </c>
      <c r="E57" s="136">
        <v>0.0</v>
      </c>
      <c r="F57" s="136">
        <v>0.0</v>
      </c>
      <c r="G57" s="197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197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193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193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198">
        <f t="shared" si="5"/>
        <v>0</v>
      </c>
      <c r="AB57" s="199">
        <f t="shared" si="6"/>
        <v>0</v>
      </c>
      <c r="AC57" s="200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201"/>
      <c r="C58" s="136">
        <v>0.0</v>
      </c>
      <c r="D58" s="136">
        <v>0.0</v>
      </c>
      <c r="E58" s="136">
        <v>0.0</v>
      </c>
      <c r="F58" s="136">
        <v>0.0</v>
      </c>
      <c r="G58" s="197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197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193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193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198">
        <f t="shared" si="5"/>
        <v>0</v>
      </c>
      <c r="AB58" s="199">
        <f t="shared" si="6"/>
        <v>0</v>
      </c>
      <c r="AC58" s="200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202"/>
      <c r="C59" s="136">
        <v>0.0</v>
      </c>
      <c r="D59" s="136">
        <v>0.0</v>
      </c>
      <c r="E59" s="136">
        <v>0.0</v>
      </c>
      <c r="F59" s="136">
        <v>0.0</v>
      </c>
      <c r="G59" s="203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203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204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204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205">
        <f t="shared" si="5"/>
        <v>0</v>
      </c>
      <c r="AB59" s="206">
        <f t="shared" si="6"/>
        <v>0</v>
      </c>
      <c r="AC59" s="207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39" t="s">
        <v>266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40"/>
      <c r="AD1" s="4"/>
      <c r="AE1" s="135"/>
      <c r="AF1" s="135"/>
      <c r="AG1" s="135"/>
      <c r="AH1" s="135"/>
    </row>
    <row r="2" ht="24.75" customHeight="1">
      <c r="A2" s="139" t="s">
        <v>267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40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268</v>
      </c>
      <c r="I6" s="15"/>
      <c r="J6" s="15"/>
      <c r="K6" s="15"/>
      <c r="L6" s="16"/>
      <c r="M6" s="17" t="s">
        <v>269</v>
      </c>
      <c r="N6" s="15"/>
      <c r="O6" s="15"/>
      <c r="P6" s="15"/>
      <c r="Q6" s="16"/>
      <c r="R6" s="17" t="s">
        <v>270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271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17" t="s">
        <v>13</v>
      </c>
      <c r="D7" s="117" t="s">
        <v>14</v>
      </c>
      <c r="E7" s="117" t="s">
        <v>15</v>
      </c>
      <c r="F7" s="117" t="s">
        <v>16</v>
      </c>
      <c r="G7" s="24"/>
      <c r="H7" s="23" t="s">
        <v>17</v>
      </c>
      <c r="I7" s="23" t="s">
        <v>14</v>
      </c>
      <c r="J7" s="23" t="s">
        <v>15</v>
      </c>
      <c r="K7" s="23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26" t="s">
        <v>17</v>
      </c>
      <c r="S7" s="26" t="s">
        <v>14</v>
      </c>
      <c r="T7" s="26" t="s">
        <v>15</v>
      </c>
      <c r="U7" s="26" t="s">
        <v>16</v>
      </c>
      <c r="V7" s="24"/>
      <c r="W7" s="27" t="s">
        <v>17</v>
      </c>
      <c r="X7" s="27" t="s">
        <v>14</v>
      </c>
      <c r="Y7" s="27" t="s">
        <v>15</v>
      </c>
      <c r="Z7" s="27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149" t="s">
        <v>272</v>
      </c>
      <c r="D8" s="149" t="s">
        <v>273</v>
      </c>
      <c r="E8" s="150" t="s">
        <v>274</v>
      </c>
      <c r="F8" s="150" t="s">
        <v>275</v>
      </c>
      <c r="G8" s="30"/>
      <c r="H8" s="152" t="s">
        <v>276</v>
      </c>
      <c r="I8" s="153" t="s">
        <v>277</v>
      </c>
      <c r="J8" s="152" t="s">
        <v>278</v>
      </c>
      <c r="K8" s="153" t="s">
        <v>279</v>
      </c>
      <c r="L8" s="30"/>
      <c r="M8" s="162" t="s">
        <v>280</v>
      </c>
      <c r="N8" s="162" t="s">
        <v>281</v>
      </c>
      <c r="O8" s="162" t="s">
        <v>282</v>
      </c>
      <c r="P8" s="174" t="s">
        <v>283</v>
      </c>
      <c r="Q8" s="30"/>
      <c r="R8" s="154" t="s">
        <v>284</v>
      </c>
      <c r="S8" s="155" t="s">
        <v>285</v>
      </c>
      <c r="T8" s="154" t="s">
        <v>286</v>
      </c>
      <c r="U8" s="155" t="s">
        <v>287</v>
      </c>
      <c r="V8" s="30"/>
      <c r="W8" s="156" t="s">
        <v>214</v>
      </c>
      <c r="X8" s="156" t="s">
        <v>288</v>
      </c>
      <c r="Y8" s="156" t="s">
        <v>216</v>
      </c>
      <c r="Z8" s="156" t="s">
        <v>289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147" t="s">
        <v>38</v>
      </c>
      <c r="H9" s="144">
        <v>2.0</v>
      </c>
      <c r="I9" s="144">
        <v>3.0</v>
      </c>
      <c r="J9" s="144">
        <v>4.0</v>
      </c>
      <c r="K9" s="144">
        <v>5.0</v>
      </c>
      <c r="L9" s="147" t="s">
        <v>38</v>
      </c>
      <c r="M9" s="137">
        <v>2.0</v>
      </c>
      <c r="N9" s="137">
        <v>3.0</v>
      </c>
      <c r="O9" s="137">
        <v>4.0</v>
      </c>
      <c r="P9" s="118" t="s">
        <v>290</v>
      </c>
      <c r="Q9" s="147" t="s">
        <v>38</v>
      </c>
      <c r="R9" s="138">
        <v>2.0</v>
      </c>
      <c r="S9" s="138">
        <v>3.0</v>
      </c>
      <c r="T9" s="138">
        <v>4.0</v>
      </c>
      <c r="U9" s="138">
        <v>5.0</v>
      </c>
      <c r="V9" s="147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53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71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71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71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71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71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71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71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71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71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71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71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71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71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71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71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71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71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71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71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71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71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71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71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71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71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71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71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71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71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71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71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71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71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71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71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71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71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71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71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71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71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71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71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71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71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71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71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71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91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135"/>
      <c r="AF1" s="135"/>
      <c r="AG1" s="135"/>
      <c r="AH1" s="135"/>
    </row>
    <row r="2" ht="24.75" customHeight="1">
      <c r="A2" s="6" t="s">
        <v>292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269</v>
      </c>
      <c r="I6" s="15"/>
      <c r="J6" s="15"/>
      <c r="K6" s="15"/>
      <c r="L6" s="16"/>
      <c r="M6" s="17" t="s">
        <v>178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293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36" t="s">
        <v>13</v>
      </c>
      <c r="D7" s="136" t="s">
        <v>14</v>
      </c>
      <c r="E7" s="136" t="s">
        <v>15</v>
      </c>
      <c r="F7" s="136" t="s">
        <v>16</v>
      </c>
      <c r="G7" s="22"/>
      <c r="H7" s="144" t="s">
        <v>17</v>
      </c>
      <c r="I7" s="144" t="s">
        <v>14</v>
      </c>
      <c r="J7" s="144" t="s">
        <v>15</v>
      </c>
      <c r="K7" s="144" t="s">
        <v>16</v>
      </c>
      <c r="L7" s="24"/>
      <c r="M7" s="137" t="s">
        <v>17</v>
      </c>
      <c r="N7" s="137" t="s">
        <v>14</v>
      </c>
      <c r="O7" s="137" t="s">
        <v>15</v>
      </c>
      <c r="P7" s="137" t="s">
        <v>16</v>
      </c>
      <c r="Q7" s="24"/>
      <c r="R7" s="138" t="s">
        <v>17</v>
      </c>
      <c r="S7" s="138" t="s">
        <v>14</v>
      </c>
      <c r="T7" s="138" t="s">
        <v>15</v>
      </c>
      <c r="U7" s="138" t="s">
        <v>16</v>
      </c>
      <c r="V7" s="24"/>
      <c r="W7" s="39" t="s">
        <v>17</v>
      </c>
      <c r="X7" s="39" t="s">
        <v>14</v>
      </c>
      <c r="Y7" s="39" t="s">
        <v>15</v>
      </c>
      <c r="Z7" s="39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31" t="s">
        <v>294</v>
      </c>
      <c r="D8" s="31" t="s">
        <v>295</v>
      </c>
      <c r="E8" s="31" t="s">
        <v>296</v>
      </c>
      <c r="F8" s="31" t="s">
        <v>297</v>
      </c>
      <c r="G8" s="30"/>
      <c r="H8" s="144" t="s">
        <v>298</v>
      </c>
      <c r="I8" s="144" t="s">
        <v>69</v>
      </c>
      <c r="J8" s="208" t="s">
        <v>299</v>
      </c>
      <c r="K8" s="208" t="s">
        <v>300</v>
      </c>
      <c r="L8" s="30"/>
      <c r="M8" s="118" t="s">
        <v>284</v>
      </c>
      <c r="N8" s="118" t="s">
        <v>301</v>
      </c>
      <c r="O8" s="118" t="s">
        <v>302</v>
      </c>
      <c r="P8" s="118" t="s">
        <v>303</v>
      </c>
      <c r="Q8" s="30"/>
      <c r="R8" s="209" t="s">
        <v>304</v>
      </c>
      <c r="S8" s="209" t="s">
        <v>305</v>
      </c>
      <c r="T8" s="209" t="s">
        <v>306</v>
      </c>
      <c r="U8" s="209" t="s">
        <v>307</v>
      </c>
      <c r="V8" s="30"/>
      <c r="W8" s="156" t="s">
        <v>34</v>
      </c>
      <c r="X8" s="156" t="s">
        <v>308</v>
      </c>
      <c r="Y8" s="156" t="s">
        <v>216</v>
      </c>
      <c r="Z8" s="39" t="s">
        <v>309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144">
        <v>2.0</v>
      </c>
      <c r="I9" s="144">
        <v>3.0</v>
      </c>
      <c r="J9" s="144">
        <v>4.0</v>
      </c>
      <c r="K9" s="144">
        <v>5.0</v>
      </c>
      <c r="L9" s="45" t="s">
        <v>38</v>
      </c>
      <c r="M9" s="137">
        <v>2.0</v>
      </c>
      <c r="N9" s="137">
        <v>3.0</v>
      </c>
      <c r="O9" s="137">
        <v>4.0</v>
      </c>
      <c r="P9" s="137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53">
        <f t="shared" ref="L10:L59" si="2">SUM(H10:K10)</f>
        <v>0</v>
      </c>
      <c r="M10" s="137">
        <v>0.0</v>
      </c>
      <c r="N10" s="137">
        <v>0.0</v>
      </c>
      <c r="O10" s="137">
        <v>0.0</v>
      </c>
      <c r="P10" s="137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71">
        <f t="shared" si="2"/>
        <v>0</v>
      </c>
      <c r="M11" s="137">
        <v>0.0</v>
      </c>
      <c r="N11" s="137">
        <v>0.0</v>
      </c>
      <c r="O11" s="137">
        <v>0.0</v>
      </c>
      <c r="P11" s="13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71">
        <f t="shared" si="2"/>
        <v>0</v>
      </c>
      <c r="M12" s="137">
        <v>0.0</v>
      </c>
      <c r="N12" s="137">
        <v>0.0</v>
      </c>
      <c r="O12" s="137">
        <v>0.0</v>
      </c>
      <c r="P12" s="13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71">
        <f t="shared" si="2"/>
        <v>0</v>
      </c>
      <c r="M13" s="137">
        <v>0.0</v>
      </c>
      <c r="N13" s="137">
        <v>0.0</v>
      </c>
      <c r="O13" s="137">
        <v>0.0</v>
      </c>
      <c r="P13" s="13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71">
        <f t="shared" si="2"/>
        <v>0</v>
      </c>
      <c r="M14" s="137">
        <v>0.0</v>
      </c>
      <c r="N14" s="137">
        <v>0.0</v>
      </c>
      <c r="O14" s="137">
        <v>0.0</v>
      </c>
      <c r="P14" s="13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71">
        <f t="shared" si="2"/>
        <v>0</v>
      </c>
      <c r="M15" s="137">
        <v>0.0</v>
      </c>
      <c r="N15" s="137">
        <v>0.0</v>
      </c>
      <c r="O15" s="137">
        <v>0.0</v>
      </c>
      <c r="P15" s="13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71">
        <f t="shared" si="2"/>
        <v>0</v>
      </c>
      <c r="M16" s="137">
        <v>0.0</v>
      </c>
      <c r="N16" s="137">
        <v>0.0</v>
      </c>
      <c r="O16" s="137">
        <v>0.0</v>
      </c>
      <c r="P16" s="13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71">
        <f t="shared" si="2"/>
        <v>0</v>
      </c>
      <c r="M17" s="137">
        <v>0.0</v>
      </c>
      <c r="N17" s="137">
        <v>0.0</v>
      </c>
      <c r="O17" s="137">
        <v>0.0</v>
      </c>
      <c r="P17" s="13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71">
        <f t="shared" si="2"/>
        <v>0</v>
      </c>
      <c r="M18" s="137">
        <v>0.0</v>
      </c>
      <c r="N18" s="137">
        <v>0.0</v>
      </c>
      <c r="O18" s="137">
        <v>0.0</v>
      </c>
      <c r="P18" s="13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71">
        <f t="shared" si="2"/>
        <v>0</v>
      </c>
      <c r="M19" s="137">
        <v>0.0</v>
      </c>
      <c r="N19" s="137">
        <v>0.0</v>
      </c>
      <c r="O19" s="137">
        <v>0.0</v>
      </c>
      <c r="P19" s="13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71">
        <f t="shared" si="2"/>
        <v>0</v>
      </c>
      <c r="M20" s="137">
        <v>0.0</v>
      </c>
      <c r="N20" s="137">
        <v>0.0</v>
      </c>
      <c r="O20" s="137">
        <v>0.0</v>
      </c>
      <c r="P20" s="13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71">
        <f t="shared" si="2"/>
        <v>0</v>
      </c>
      <c r="M21" s="137">
        <v>0.0</v>
      </c>
      <c r="N21" s="137">
        <v>0.0</v>
      </c>
      <c r="O21" s="137">
        <v>0.0</v>
      </c>
      <c r="P21" s="13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71">
        <f t="shared" si="2"/>
        <v>0</v>
      </c>
      <c r="M22" s="137">
        <v>0.0</v>
      </c>
      <c r="N22" s="137">
        <v>0.0</v>
      </c>
      <c r="O22" s="137">
        <v>0.0</v>
      </c>
      <c r="P22" s="13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71">
        <f t="shared" si="2"/>
        <v>0</v>
      </c>
      <c r="M23" s="137">
        <v>0.0</v>
      </c>
      <c r="N23" s="137">
        <v>0.0</v>
      </c>
      <c r="O23" s="137">
        <v>0.0</v>
      </c>
      <c r="P23" s="13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71">
        <f t="shared" si="2"/>
        <v>0</v>
      </c>
      <c r="M24" s="137">
        <v>0.0</v>
      </c>
      <c r="N24" s="137">
        <v>0.0</v>
      </c>
      <c r="O24" s="137">
        <v>0.0</v>
      </c>
      <c r="P24" s="13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71">
        <f t="shared" si="2"/>
        <v>0</v>
      </c>
      <c r="M25" s="137">
        <v>0.0</v>
      </c>
      <c r="N25" s="137">
        <v>0.0</v>
      </c>
      <c r="O25" s="137">
        <v>0.0</v>
      </c>
      <c r="P25" s="13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71">
        <f t="shared" si="2"/>
        <v>0</v>
      </c>
      <c r="M26" s="137">
        <v>0.0</v>
      </c>
      <c r="N26" s="137">
        <v>0.0</v>
      </c>
      <c r="O26" s="137">
        <v>0.0</v>
      </c>
      <c r="P26" s="13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71">
        <f t="shared" si="2"/>
        <v>0</v>
      </c>
      <c r="M27" s="137">
        <v>0.0</v>
      </c>
      <c r="N27" s="137">
        <v>0.0</v>
      </c>
      <c r="O27" s="137">
        <v>0.0</v>
      </c>
      <c r="P27" s="13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71">
        <f t="shared" si="2"/>
        <v>0</v>
      </c>
      <c r="M28" s="137">
        <v>0.0</v>
      </c>
      <c r="N28" s="137">
        <v>0.0</v>
      </c>
      <c r="O28" s="137">
        <v>0.0</v>
      </c>
      <c r="P28" s="13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71">
        <f t="shared" si="2"/>
        <v>0</v>
      </c>
      <c r="M29" s="137">
        <v>0.0</v>
      </c>
      <c r="N29" s="137">
        <v>0.0</v>
      </c>
      <c r="O29" s="137">
        <v>0.0</v>
      </c>
      <c r="P29" s="13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71">
        <f t="shared" si="2"/>
        <v>0</v>
      </c>
      <c r="M30" s="137">
        <v>0.0</v>
      </c>
      <c r="N30" s="137">
        <v>0.0</v>
      </c>
      <c r="O30" s="137">
        <v>0.0</v>
      </c>
      <c r="P30" s="13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71">
        <f t="shared" si="2"/>
        <v>0</v>
      </c>
      <c r="M31" s="137">
        <v>0.0</v>
      </c>
      <c r="N31" s="137">
        <v>0.0</v>
      </c>
      <c r="O31" s="137">
        <v>0.0</v>
      </c>
      <c r="P31" s="13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71">
        <f t="shared" si="2"/>
        <v>0</v>
      </c>
      <c r="M32" s="137">
        <v>0.0</v>
      </c>
      <c r="N32" s="137">
        <v>0.0</v>
      </c>
      <c r="O32" s="137">
        <v>0.0</v>
      </c>
      <c r="P32" s="13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71">
        <f t="shared" si="2"/>
        <v>0</v>
      </c>
      <c r="M33" s="137">
        <v>0.0</v>
      </c>
      <c r="N33" s="137">
        <v>0.0</v>
      </c>
      <c r="O33" s="137">
        <v>0.0</v>
      </c>
      <c r="P33" s="13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71">
        <f t="shared" si="2"/>
        <v>0</v>
      </c>
      <c r="M34" s="137">
        <v>0.0</v>
      </c>
      <c r="N34" s="137">
        <v>0.0</v>
      </c>
      <c r="O34" s="137">
        <v>0.0</v>
      </c>
      <c r="P34" s="13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71">
        <f t="shared" si="2"/>
        <v>0</v>
      </c>
      <c r="M35" s="137">
        <v>0.0</v>
      </c>
      <c r="N35" s="137">
        <v>0.0</v>
      </c>
      <c r="O35" s="137">
        <v>0.0</v>
      </c>
      <c r="P35" s="13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71">
        <f t="shared" si="2"/>
        <v>0</v>
      </c>
      <c r="M36" s="137">
        <v>0.0</v>
      </c>
      <c r="N36" s="137">
        <v>0.0</v>
      </c>
      <c r="O36" s="137">
        <v>0.0</v>
      </c>
      <c r="P36" s="13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71">
        <f t="shared" si="2"/>
        <v>0</v>
      </c>
      <c r="M37" s="137">
        <v>0.0</v>
      </c>
      <c r="N37" s="137">
        <v>0.0</v>
      </c>
      <c r="O37" s="137">
        <v>0.0</v>
      </c>
      <c r="P37" s="13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71">
        <f t="shared" si="2"/>
        <v>0</v>
      </c>
      <c r="M38" s="137">
        <v>0.0</v>
      </c>
      <c r="N38" s="137">
        <v>0.0</v>
      </c>
      <c r="O38" s="137">
        <v>0.0</v>
      </c>
      <c r="P38" s="13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71">
        <f t="shared" si="2"/>
        <v>0</v>
      </c>
      <c r="M39" s="137">
        <v>0.0</v>
      </c>
      <c r="N39" s="137">
        <v>0.0</v>
      </c>
      <c r="O39" s="137">
        <v>0.0</v>
      </c>
      <c r="P39" s="13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71">
        <f t="shared" si="2"/>
        <v>0</v>
      </c>
      <c r="M40" s="137">
        <v>0.0</v>
      </c>
      <c r="N40" s="137">
        <v>0.0</v>
      </c>
      <c r="O40" s="137">
        <v>0.0</v>
      </c>
      <c r="P40" s="13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71">
        <f t="shared" si="2"/>
        <v>0</v>
      </c>
      <c r="M41" s="137">
        <v>0.0</v>
      </c>
      <c r="N41" s="137">
        <v>0.0</v>
      </c>
      <c r="O41" s="137">
        <v>0.0</v>
      </c>
      <c r="P41" s="13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71">
        <f t="shared" si="2"/>
        <v>0</v>
      </c>
      <c r="M42" s="137">
        <v>0.0</v>
      </c>
      <c r="N42" s="137">
        <v>0.0</v>
      </c>
      <c r="O42" s="137">
        <v>0.0</v>
      </c>
      <c r="P42" s="13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71">
        <f t="shared" si="2"/>
        <v>0</v>
      </c>
      <c r="M43" s="137">
        <v>0.0</v>
      </c>
      <c r="N43" s="137">
        <v>0.0</v>
      </c>
      <c r="O43" s="137">
        <v>0.0</v>
      </c>
      <c r="P43" s="13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71">
        <f t="shared" si="2"/>
        <v>0</v>
      </c>
      <c r="M44" s="137">
        <v>0.0</v>
      </c>
      <c r="N44" s="137">
        <v>0.0</v>
      </c>
      <c r="O44" s="137">
        <v>0.0</v>
      </c>
      <c r="P44" s="13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71">
        <f t="shared" si="2"/>
        <v>0</v>
      </c>
      <c r="M45" s="137">
        <v>0.0</v>
      </c>
      <c r="N45" s="137">
        <v>0.0</v>
      </c>
      <c r="O45" s="137">
        <v>0.0</v>
      </c>
      <c r="P45" s="13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71">
        <f t="shared" si="2"/>
        <v>0</v>
      </c>
      <c r="M46" s="137">
        <v>0.0</v>
      </c>
      <c r="N46" s="137">
        <v>0.0</v>
      </c>
      <c r="O46" s="137">
        <v>0.0</v>
      </c>
      <c r="P46" s="13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71">
        <f t="shared" si="2"/>
        <v>0</v>
      </c>
      <c r="M47" s="137">
        <v>0.0</v>
      </c>
      <c r="N47" s="137">
        <v>0.0</v>
      </c>
      <c r="O47" s="137">
        <v>0.0</v>
      </c>
      <c r="P47" s="13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71">
        <f t="shared" si="2"/>
        <v>0</v>
      </c>
      <c r="M48" s="137">
        <v>0.0</v>
      </c>
      <c r="N48" s="137">
        <v>0.0</v>
      </c>
      <c r="O48" s="137">
        <v>0.0</v>
      </c>
      <c r="P48" s="13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71">
        <f t="shared" si="2"/>
        <v>0</v>
      </c>
      <c r="M49" s="137">
        <v>0.0</v>
      </c>
      <c r="N49" s="137">
        <v>0.0</v>
      </c>
      <c r="O49" s="137">
        <v>0.0</v>
      </c>
      <c r="P49" s="13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71">
        <f t="shared" si="2"/>
        <v>0</v>
      </c>
      <c r="M50" s="137">
        <v>0.0</v>
      </c>
      <c r="N50" s="137">
        <v>0.0</v>
      </c>
      <c r="O50" s="137">
        <v>0.0</v>
      </c>
      <c r="P50" s="13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71">
        <f t="shared" si="2"/>
        <v>0</v>
      </c>
      <c r="M51" s="137">
        <v>0.0</v>
      </c>
      <c r="N51" s="137">
        <v>0.0</v>
      </c>
      <c r="O51" s="137">
        <v>0.0</v>
      </c>
      <c r="P51" s="13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71">
        <f t="shared" si="2"/>
        <v>0</v>
      </c>
      <c r="M52" s="137">
        <v>0.0</v>
      </c>
      <c r="N52" s="137">
        <v>0.0</v>
      </c>
      <c r="O52" s="137">
        <v>0.0</v>
      </c>
      <c r="P52" s="13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71">
        <f t="shared" si="2"/>
        <v>0</v>
      </c>
      <c r="M53" s="137">
        <v>0.0</v>
      </c>
      <c r="N53" s="137">
        <v>0.0</v>
      </c>
      <c r="O53" s="137">
        <v>0.0</v>
      </c>
      <c r="P53" s="13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71">
        <f t="shared" si="2"/>
        <v>0</v>
      </c>
      <c r="M54" s="137">
        <v>0.0</v>
      </c>
      <c r="N54" s="137">
        <v>0.0</v>
      </c>
      <c r="O54" s="137">
        <v>0.0</v>
      </c>
      <c r="P54" s="13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71">
        <f t="shared" si="2"/>
        <v>0</v>
      </c>
      <c r="M55" s="137">
        <v>0.0</v>
      </c>
      <c r="N55" s="137">
        <v>0.0</v>
      </c>
      <c r="O55" s="137">
        <v>0.0</v>
      </c>
      <c r="P55" s="13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71">
        <f t="shared" si="2"/>
        <v>0</v>
      </c>
      <c r="M56" s="137">
        <v>0.0</v>
      </c>
      <c r="N56" s="137">
        <v>0.0</v>
      </c>
      <c r="O56" s="137">
        <v>0.0</v>
      </c>
      <c r="P56" s="13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71">
        <f t="shared" si="2"/>
        <v>0</v>
      </c>
      <c r="M57" s="137">
        <v>0.0</v>
      </c>
      <c r="N57" s="137">
        <v>0.0</v>
      </c>
      <c r="O57" s="137">
        <v>0.0</v>
      </c>
      <c r="P57" s="13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71">
        <f t="shared" si="2"/>
        <v>0</v>
      </c>
      <c r="M58" s="137">
        <v>0.0</v>
      </c>
      <c r="N58" s="137">
        <v>0.0</v>
      </c>
      <c r="O58" s="137">
        <v>0.0</v>
      </c>
      <c r="P58" s="13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91">
        <f t="shared" si="2"/>
        <v>0</v>
      </c>
      <c r="M59" s="137">
        <v>0.0</v>
      </c>
      <c r="N59" s="137">
        <v>0.0</v>
      </c>
      <c r="O59" s="137">
        <v>0.0</v>
      </c>
      <c r="P59" s="13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135"/>
      <c r="AF1" s="135"/>
      <c r="AG1" s="135"/>
      <c r="AH1" s="135"/>
    </row>
    <row r="2" ht="24.75" customHeight="1">
      <c r="A2" s="6" t="s">
        <v>311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4" t="s">
        <v>62</v>
      </c>
      <c r="I6" s="15"/>
      <c r="J6" s="15"/>
      <c r="K6" s="15"/>
      <c r="L6" s="16"/>
      <c r="M6" s="17" t="s">
        <v>178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312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136" t="s">
        <v>13</v>
      </c>
      <c r="D7" s="136" t="s">
        <v>14</v>
      </c>
      <c r="E7" s="136" t="s">
        <v>15</v>
      </c>
      <c r="F7" s="136" t="s">
        <v>16</v>
      </c>
      <c r="G7" s="22"/>
      <c r="H7" s="144" t="s">
        <v>17</v>
      </c>
      <c r="I7" s="144" t="s">
        <v>14</v>
      </c>
      <c r="J7" s="144" t="s">
        <v>15</v>
      </c>
      <c r="K7" s="144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138" t="s">
        <v>17</v>
      </c>
      <c r="S7" s="138" t="s">
        <v>14</v>
      </c>
      <c r="T7" s="138" t="s">
        <v>15</v>
      </c>
      <c r="U7" s="138" t="s">
        <v>16</v>
      </c>
      <c r="V7" s="24"/>
      <c r="W7" s="39" t="s">
        <v>17</v>
      </c>
      <c r="X7" s="39" t="s">
        <v>14</v>
      </c>
      <c r="Y7" s="39" t="s">
        <v>15</v>
      </c>
      <c r="Z7" s="39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31" t="s">
        <v>313</v>
      </c>
      <c r="D8" s="31" t="s">
        <v>314</v>
      </c>
      <c r="E8" s="31" t="s">
        <v>315</v>
      </c>
      <c r="F8" s="31" t="s">
        <v>316</v>
      </c>
      <c r="G8" s="30"/>
      <c r="H8" s="208" t="s">
        <v>317</v>
      </c>
      <c r="I8" s="208" t="s">
        <v>318</v>
      </c>
      <c r="J8" s="208" t="s">
        <v>319</v>
      </c>
      <c r="K8" s="208" t="s">
        <v>320</v>
      </c>
      <c r="L8" s="30"/>
      <c r="M8" s="118" t="s">
        <v>321</v>
      </c>
      <c r="N8" s="118" t="s">
        <v>322</v>
      </c>
      <c r="O8" s="118" t="s">
        <v>323</v>
      </c>
      <c r="P8" s="118" t="s">
        <v>324</v>
      </c>
      <c r="Q8" s="30"/>
      <c r="R8" s="138" t="s">
        <v>76</v>
      </c>
      <c r="S8" s="138" t="s">
        <v>77</v>
      </c>
      <c r="T8" s="138" t="s">
        <v>78</v>
      </c>
      <c r="U8" s="138" t="s">
        <v>79</v>
      </c>
      <c r="V8" s="30"/>
      <c r="W8" s="156" t="s">
        <v>325</v>
      </c>
      <c r="X8" s="156" t="s">
        <v>308</v>
      </c>
      <c r="Y8" s="156" t="s">
        <v>216</v>
      </c>
      <c r="Z8" s="39" t="s">
        <v>309</v>
      </c>
      <c r="AA8" s="30"/>
      <c r="AB8" s="30"/>
      <c r="AC8" s="30"/>
      <c r="AD8" s="40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144">
        <v>2.0</v>
      </c>
      <c r="I9" s="144">
        <v>3.0</v>
      </c>
      <c r="J9" s="144">
        <v>4.0</v>
      </c>
      <c r="K9" s="144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71"/>
    <col customWidth="1" min="3" max="29" width="17.86"/>
    <col customWidth="1" min="30" max="30" width="16.43"/>
    <col customWidth="1" min="31" max="34" width="8.71"/>
  </cols>
  <sheetData>
    <row r="1" ht="24.75" customHeight="1">
      <c r="A1" s="108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135"/>
      <c r="AF1" s="135"/>
      <c r="AG1" s="135"/>
      <c r="AH1" s="135"/>
    </row>
    <row r="2" ht="24.75" customHeight="1">
      <c r="A2" s="6" t="s">
        <v>327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4"/>
      <c r="AE2" s="135"/>
      <c r="AF2" s="135"/>
      <c r="AG2" s="135"/>
      <c r="AH2" s="135"/>
    </row>
    <row r="3" ht="24.7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4"/>
      <c r="AE3" s="135"/>
      <c r="AF3" s="135"/>
      <c r="AG3" s="135"/>
      <c r="AH3" s="135"/>
    </row>
    <row r="4" ht="24.7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4"/>
      <c r="AE4" s="135"/>
      <c r="AF4" s="135"/>
      <c r="AG4" s="135"/>
      <c r="AH4" s="135"/>
    </row>
    <row r="5" ht="24.75" customHeight="1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4"/>
      <c r="AE5" s="135"/>
      <c r="AF5" s="135"/>
      <c r="AG5" s="135"/>
      <c r="AH5" s="135"/>
    </row>
    <row r="6" ht="33.75" customHeight="1">
      <c r="A6" s="13" t="s">
        <v>5</v>
      </c>
      <c r="B6" s="13" t="s">
        <v>6</v>
      </c>
      <c r="C6" s="14" t="s">
        <v>7</v>
      </c>
      <c r="D6" s="15"/>
      <c r="E6" s="15"/>
      <c r="F6" s="15"/>
      <c r="G6" s="16"/>
      <c r="H6" s="17" t="s">
        <v>8</v>
      </c>
      <c r="I6" s="15"/>
      <c r="J6" s="15"/>
      <c r="K6" s="15"/>
      <c r="L6" s="16"/>
      <c r="M6" s="17" t="s">
        <v>178</v>
      </c>
      <c r="N6" s="15"/>
      <c r="O6" s="15"/>
      <c r="P6" s="15"/>
      <c r="Q6" s="16"/>
      <c r="R6" s="14" t="s">
        <v>10</v>
      </c>
      <c r="S6" s="15"/>
      <c r="T6" s="15"/>
      <c r="U6" s="15"/>
      <c r="V6" s="16"/>
      <c r="W6" s="14" t="s">
        <v>11</v>
      </c>
      <c r="X6" s="15"/>
      <c r="Y6" s="15"/>
      <c r="Z6" s="15"/>
      <c r="AA6" s="16"/>
      <c r="AB6" s="18" t="s">
        <v>328</v>
      </c>
      <c r="AC6" s="16"/>
      <c r="AD6" s="4"/>
      <c r="AE6" s="19"/>
      <c r="AF6" s="19"/>
      <c r="AG6" s="19"/>
      <c r="AH6" s="19"/>
    </row>
    <row r="7" ht="51.75" customHeight="1">
      <c r="A7" s="20"/>
      <c r="B7" s="20"/>
      <c r="C7" s="210" t="s">
        <v>13</v>
      </c>
      <c r="D7" s="210" t="s">
        <v>14</v>
      </c>
      <c r="E7" s="210" t="s">
        <v>15</v>
      </c>
      <c r="F7" s="210" t="s">
        <v>16</v>
      </c>
      <c r="G7" s="22"/>
      <c r="H7" s="144" t="s">
        <v>17</v>
      </c>
      <c r="I7" s="144" t="s">
        <v>14</v>
      </c>
      <c r="J7" s="144" t="s">
        <v>15</v>
      </c>
      <c r="K7" s="144" t="s">
        <v>16</v>
      </c>
      <c r="L7" s="24"/>
      <c r="M7" s="25" t="s">
        <v>17</v>
      </c>
      <c r="N7" s="25" t="s">
        <v>14</v>
      </c>
      <c r="O7" s="25" t="s">
        <v>15</v>
      </c>
      <c r="P7" s="25" t="s">
        <v>16</v>
      </c>
      <c r="Q7" s="24"/>
      <c r="R7" s="138" t="s">
        <v>17</v>
      </c>
      <c r="S7" s="138" t="s">
        <v>14</v>
      </c>
      <c r="T7" s="138" t="s">
        <v>15</v>
      </c>
      <c r="U7" s="138" t="s">
        <v>16</v>
      </c>
      <c r="V7" s="24"/>
      <c r="W7" s="39" t="s">
        <v>17</v>
      </c>
      <c r="X7" s="39" t="s">
        <v>14</v>
      </c>
      <c r="Y7" s="39" t="s">
        <v>15</v>
      </c>
      <c r="Z7" s="39" t="s">
        <v>16</v>
      </c>
      <c r="AA7" s="24"/>
      <c r="AB7" s="24"/>
      <c r="AC7" s="24"/>
      <c r="AD7" s="28"/>
      <c r="AE7" s="29"/>
      <c r="AF7" s="29"/>
      <c r="AG7" s="29"/>
      <c r="AH7" s="29"/>
    </row>
    <row r="8" ht="199.5" customHeight="1">
      <c r="A8" s="20"/>
      <c r="B8" s="20"/>
      <c r="C8" s="32" t="s">
        <v>329</v>
      </c>
      <c r="D8" s="32" t="s">
        <v>330</v>
      </c>
      <c r="E8" s="32" t="s">
        <v>331</v>
      </c>
      <c r="F8" s="32" t="s">
        <v>332</v>
      </c>
      <c r="G8" s="30"/>
      <c r="H8" s="208" t="s">
        <v>333</v>
      </c>
      <c r="I8" s="208" t="s">
        <v>334</v>
      </c>
      <c r="J8" s="208" t="s">
        <v>335</v>
      </c>
      <c r="K8" s="144" t="s">
        <v>71</v>
      </c>
      <c r="L8" s="30"/>
      <c r="M8" s="118" t="s">
        <v>336</v>
      </c>
      <c r="N8" s="118" t="s">
        <v>337</v>
      </c>
      <c r="O8" s="118" t="s">
        <v>338</v>
      </c>
      <c r="P8" s="118" t="s">
        <v>339</v>
      </c>
      <c r="Q8" s="30"/>
      <c r="R8" s="138" t="s">
        <v>76</v>
      </c>
      <c r="S8" s="209" t="s">
        <v>340</v>
      </c>
      <c r="T8" s="209" t="s">
        <v>341</v>
      </c>
      <c r="U8" s="209" t="s">
        <v>342</v>
      </c>
      <c r="V8" s="30"/>
      <c r="W8" s="156" t="s">
        <v>325</v>
      </c>
      <c r="X8" s="156" t="s">
        <v>308</v>
      </c>
      <c r="Y8" s="156" t="s">
        <v>216</v>
      </c>
      <c r="Z8" s="39" t="s">
        <v>309</v>
      </c>
      <c r="AA8" s="30"/>
      <c r="AB8" s="30"/>
      <c r="AC8" s="30"/>
      <c r="AD8" s="211"/>
      <c r="AE8" s="41"/>
      <c r="AF8" s="41"/>
      <c r="AG8" s="41"/>
      <c r="AH8" s="41"/>
    </row>
    <row r="9" ht="24.75" customHeight="1">
      <c r="A9" s="42"/>
      <c r="B9" s="43"/>
      <c r="C9" s="136">
        <v>2.0</v>
      </c>
      <c r="D9" s="136">
        <v>3.0</v>
      </c>
      <c r="E9" s="136">
        <v>4.0</v>
      </c>
      <c r="F9" s="136">
        <v>5.0</v>
      </c>
      <c r="G9" s="45" t="s">
        <v>38</v>
      </c>
      <c r="H9" s="144">
        <v>2.0</v>
      </c>
      <c r="I9" s="144">
        <v>3.0</v>
      </c>
      <c r="J9" s="144">
        <v>4.0</v>
      </c>
      <c r="K9" s="144">
        <v>5.0</v>
      </c>
      <c r="L9" s="45" t="s">
        <v>38</v>
      </c>
      <c r="M9" s="25">
        <v>2.0</v>
      </c>
      <c r="N9" s="25">
        <v>3.0</v>
      </c>
      <c r="O9" s="25">
        <v>4.0</v>
      </c>
      <c r="P9" s="25">
        <v>5.0</v>
      </c>
      <c r="Q9" s="45" t="s">
        <v>38</v>
      </c>
      <c r="R9" s="138">
        <v>2.0</v>
      </c>
      <c r="S9" s="138">
        <v>3.0</v>
      </c>
      <c r="T9" s="138">
        <v>4.0</v>
      </c>
      <c r="U9" s="138">
        <v>5.0</v>
      </c>
      <c r="V9" s="45" t="s">
        <v>38</v>
      </c>
      <c r="W9" s="39">
        <v>2.0</v>
      </c>
      <c r="X9" s="39">
        <v>3.0</v>
      </c>
      <c r="Y9" s="39">
        <v>4.0</v>
      </c>
      <c r="Z9" s="39">
        <v>5.0</v>
      </c>
      <c r="AA9" s="45" t="s">
        <v>38</v>
      </c>
      <c r="AB9" s="45" t="s">
        <v>39</v>
      </c>
      <c r="AC9" s="45" t="s">
        <v>40</v>
      </c>
      <c r="AD9" s="46"/>
      <c r="AE9" s="47"/>
      <c r="AF9" s="47"/>
      <c r="AG9" s="47"/>
      <c r="AH9" s="47"/>
    </row>
    <row r="10" ht="24.75" customHeight="1">
      <c r="A10" s="48">
        <v>1.0</v>
      </c>
      <c r="B10" s="49"/>
      <c r="C10" s="136">
        <v>0.0</v>
      </c>
      <c r="D10" s="136">
        <v>0.0</v>
      </c>
      <c r="E10" s="136">
        <v>0.0</v>
      </c>
      <c r="F10" s="136">
        <v>0.0</v>
      </c>
      <c r="G10" s="53">
        <f t="shared" ref="G10:G59" si="1">SUM(C10:F10)</f>
        <v>0</v>
      </c>
      <c r="H10" s="144">
        <v>0.0</v>
      </c>
      <c r="I10" s="144">
        <v>0.0</v>
      </c>
      <c r="J10" s="144">
        <v>0.0</v>
      </c>
      <c r="K10" s="144">
        <v>0.0</v>
      </c>
      <c r="L10" s="53">
        <f t="shared" ref="L10:L59" si="2">SUM(H10:K10)</f>
        <v>0</v>
      </c>
      <c r="M10" s="57">
        <v>0.0</v>
      </c>
      <c r="N10" s="58">
        <v>0.0</v>
      </c>
      <c r="O10" s="58">
        <v>0.0</v>
      </c>
      <c r="P10" s="59">
        <v>0.0</v>
      </c>
      <c r="Q10" s="60">
        <f t="shared" ref="Q10:Q59" si="3">SUM(M10:P10)</f>
        <v>0</v>
      </c>
      <c r="R10" s="138">
        <v>0.0</v>
      </c>
      <c r="S10" s="138">
        <v>0.0</v>
      </c>
      <c r="T10" s="138">
        <v>0.0</v>
      </c>
      <c r="U10" s="138">
        <v>0.0</v>
      </c>
      <c r="V10" s="60">
        <f t="shared" ref="V10:V59" si="4">SUM(R10:U10)</f>
        <v>0</v>
      </c>
      <c r="W10" s="39">
        <v>0.0</v>
      </c>
      <c r="X10" s="39">
        <v>0.0</v>
      </c>
      <c r="Y10" s="39">
        <v>0.0</v>
      </c>
      <c r="Z10" s="39">
        <v>0.0</v>
      </c>
      <c r="AA10" s="53">
        <f t="shared" ref="AA10:AA59" si="5">SUM(W10:Z10)</f>
        <v>0</v>
      </c>
      <c r="AB10" s="53">
        <f t="shared" ref="AB10:AB59" si="6">G10+L10+Q10+AA10+AA10</f>
        <v>0</v>
      </c>
      <c r="AC10" s="53" t="str">
        <f t="shared" ref="AC10:AC59" si="7">IF(AB10&gt;=20,"A",IF(AB10&gt;=15,"B",IF(AB10&gt;=10,"C","D")))</f>
        <v>D</v>
      </c>
      <c r="AD10" s="67"/>
      <c r="AE10" s="67"/>
      <c r="AF10" s="67"/>
      <c r="AG10" s="67"/>
      <c r="AH10" s="67"/>
    </row>
    <row r="11" ht="24.75" customHeight="1">
      <c r="A11" s="48">
        <v>2.0</v>
      </c>
      <c r="B11" s="49"/>
      <c r="C11" s="136">
        <v>0.0</v>
      </c>
      <c r="D11" s="136">
        <v>0.0</v>
      </c>
      <c r="E11" s="136">
        <v>0.0</v>
      </c>
      <c r="F11" s="136">
        <v>0.0</v>
      </c>
      <c r="G11" s="71">
        <f t="shared" si="1"/>
        <v>0</v>
      </c>
      <c r="H11" s="144">
        <v>0.0</v>
      </c>
      <c r="I11" s="144">
        <v>0.0</v>
      </c>
      <c r="J11" s="144">
        <v>0.0</v>
      </c>
      <c r="K11" s="144">
        <v>0.0</v>
      </c>
      <c r="L11" s="71">
        <f t="shared" si="2"/>
        <v>0</v>
      </c>
      <c r="M11" s="75">
        <v>0.0</v>
      </c>
      <c r="N11" s="76">
        <v>0.0</v>
      </c>
      <c r="O11" s="76">
        <v>0.0</v>
      </c>
      <c r="P11" s="77">
        <v>0.0</v>
      </c>
      <c r="Q11" s="71">
        <f t="shared" si="3"/>
        <v>0</v>
      </c>
      <c r="R11" s="138">
        <v>0.0</v>
      </c>
      <c r="S11" s="138">
        <v>0.0</v>
      </c>
      <c r="T11" s="138">
        <v>0.0</v>
      </c>
      <c r="U11" s="138">
        <v>0.0</v>
      </c>
      <c r="V11" s="71">
        <f t="shared" si="4"/>
        <v>0</v>
      </c>
      <c r="W11" s="39">
        <v>0.0</v>
      </c>
      <c r="X11" s="39">
        <v>0.0</v>
      </c>
      <c r="Y11" s="39">
        <v>0.0</v>
      </c>
      <c r="Z11" s="39">
        <v>0.0</v>
      </c>
      <c r="AA11" s="71">
        <f t="shared" si="5"/>
        <v>0</v>
      </c>
      <c r="AB11" s="53">
        <f t="shared" si="6"/>
        <v>0</v>
      </c>
      <c r="AC11" s="53" t="str">
        <f t="shared" si="7"/>
        <v>D</v>
      </c>
      <c r="AD11" s="67"/>
      <c r="AE11" s="67"/>
      <c r="AF11" s="67"/>
      <c r="AG11" s="67"/>
      <c r="AH11" s="67"/>
    </row>
    <row r="12" ht="24.75" customHeight="1">
      <c r="A12" s="84">
        <v>3.0</v>
      </c>
      <c r="B12" s="85"/>
      <c r="C12" s="136">
        <v>0.0</v>
      </c>
      <c r="D12" s="136">
        <v>0.0</v>
      </c>
      <c r="E12" s="136">
        <v>0.0</v>
      </c>
      <c r="F12" s="136">
        <v>0.0</v>
      </c>
      <c r="G12" s="71">
        <f t="shared" si="1"/>
        <v>0</v>
      </c>
      <c r="H12" s="144">
        <v>0.0</v>
      </c>
      <c r="I12" s="144">
        <v>0.0</v>
      </c>
      <c r="J12" s="144">
        <v>0.0</v>
      </c>
      <c r="K12" s="144">
        <v>0.0</v>
      </c>
      <c r="L12" s="71">
        <f t="shared" si="2"/>
        <v>0</v>
      </c>
      <c r="M12" s="75">
        <v>0.0</v>
      </c>
      <c r="N12" s="76">
        <v>0.0</v>
      </c>
      <c r="O12" s="76">
        <v>0.0</v>
      </c>
      <c r="P12" s="77">
        <v>0.0</v>
      </c>
      <c r="Q12" s="71">
        <f t="shared" si="3"/>
        <v>0</v>
      </c>
      <c r="R12" s="138">
        <v>0.0</v>
      </c>
      <c r="S12" s="138">
        <v>0.0</v>
      </c>
      <c r="T12" s="138">
        <v>0.0</v>
      </c>
      <c r="U12" s="138">
        <v>0.0</v>
      </c>
      <c r="V12" s="71">
        <f t="shared" si="4"/>
        <v>0</v>
      </c>
      <c r="W12" s="39">
        <v>0.0</v>
      </c>
      <c r="X12" s="39">
        <v>0.0</v>
      </c>
      <c r="Y12" s="39">
        <v>0.0</v>
      </c>
      <c r="Z12" s="39">
        <v>0.0</v>
      </c>
      <c r="AA12" s="71">
        <f t="shared" si="5"/>
        <v>0</v>
      </c>
      <c r="AB12" s="53">
        <f t="shared" si="6"/>
        <v>0</v>
      </c>
      <c r="AC12" s="53" t="str">
        <f t="shared" si="7"/>
        <v>D</v>
      </c>
      <c r="AD12" s="67"/>
      <c r="AE12" s="67"/>
      <c r="AF12" s="67"/>
      <c r="AG12" s="67"/>
      <c r="AH12" s="67"/>
    </row>
    <row r="13" ht="24.75" customHeight="1">
      <c r="A13" s="84">
        <v>4.0</v>
      </c>
      <c r="B13" s="85"/>
      <c r="C13" s="136">
        <v>0.0</v>
      </c>
      <c r="D13" s="136">
        <v>0.0</v>
      </c>
      <c r="E13" s="136">
        <v>0.0</v>
      </c>
      <c r="F13" s="136">
        <v>0.0</v>
      </c>
      <c r="G13" s="71">
        <f t="shared" si="1"/>
        <v>0</v>
      </c>
      <c r="H13" s="144">
        <v>0.0</v>
      </c>
      <c r="I13" s="144">
        <v>0.0</v>
      </c>
      <c r="J13" s="144">
        <v>0.0</v>
      </c>
      <c r="K13" s="144">
        <v>0.0</v>
      </c>
      <c r="L13" s="71">
        <f t="shared" si="2"/>
        <v>0</v>
      </c>
      <c r="M13" s="75">
        <v>0.0</v>
      </c>
      <c r="N13" s="76">
        <v>0.0</v>
      </c>
      <c r="O13" s="76">
        <v>0.0</v>
      </c>
      <c r="P13" s="77">
        <v>0.0</v>
      </c>
      <c r="Q13" s="71">
        <f t="shared" si="3"/>
        <v>0</v>
      </c>
      <c r="R13" s="138">
        <v>0.0</v>
      </c>
      <c r="S13" s="138">
        <v>0.0</v>
      </c>
      <c r="T13" s="138">
        <v>0.0</v>
      </c>
      <c r="U13" s="138">
        <v>0.0</v>
      </c>
      <c r="V13" s="71">
        <f t="shared" si="4"/>
        <v>0</v>
      </c>
      <c r="W13" s="39">
        <v>0.0</v>
      </c>
      <c r="X13" s="39">
        <v>0.0</v>
      </c>
      <c r="Y13" s="39">
        <v>0.0</v>
      </c>
      <c r="Z13" s="39">
        <v>0.0</v>
      </c>
      <c r="AA13" s="71">
        <f t="shared" si="5"/>
        <v>0</v>
      </c>
      <c r="AB13" s="53">
        <f t="shared" si="6"/>
        <v>0</v>
      </c>
      <c r="AC13" s="53" t="str">
        <f t="shared" si="7"/>
        <v>D</v>
      </c>
      <c r="AD13" s="67"/>
      <c r="AE13" s="67"/>
      <c r="AF13" s="67"/>
      <c r="AG13" s="67"/>
      <c r="AH13" s="67"/>
    </row>
    <row r="14" ht="24.75" customHeight="1">
      <c r="A14" s="84">
        <v>5.0</v>
      </c>
      <c r="B14" s="85"/>
      <c r="C14" s="136">
        <v>0.0</v>
      </c>
      <c r="D14" s="136">
        <v>0.0</v>
      </c>
      <c r="E14" s="136">
        <v>0.0</v>
      </c>
      <c r="F14" s="136">
        <v>0.0</v>
      </c>
      <c r="G14" s="71">
        <f t="shared" si="1"/>
        <v>0</v>
      </c>
      <c r="H14" s="144">
        <v>0.0</v>
      </c>
      <c r="I14" s="144">
        <v>0.0</v>
      </c>
      <c r="J14" s="144">
        <v>0.0</v>
      </c>
      <c r="K14" s="144">
        <v>0.0</v>
      </c>
      <c r="L14" s="71">
        <f t="shared" si="2"/>
        <v>0</v>
      </c>
      <c r="M14" s="75">
        <v>0.0</v>
      </c>
      <c r="N14" s="76">
        <v>0.0</v>
      </c>
      <c r="O14" s="76">
        <v>0.0</v>
      </c>
      <c r="P14" s="77">
        <v>0.0</v>
      </c>
      <c r="Q14" s="71">
        <f t="shared" si="3"/>
        <v>0</v>
      </c>
      <c r="R14" s="138">
        <v>0.0</v>
      </c>
      <c r="S14" s="138">
        <v>0.0</v>
      </c>
      <c r="T14" s="138">
        <v>0.0</v>
      </c>
      <c r="U14" s="138">
        <v>0.0</v>
      </c>
      <c r="V14" s="71">
        <f t="shared" si="4"/>
        <v>0</v>
      </c>
      <c r="W14" s="39">
        <v>0.0</v>
      </c>
      <c r="X14" s="39">
        <v>0.0</v>
      </c>
      <c r="Y14" s="39">
        <v>0.0</v>
      </c>
      <c r="Z14" s="39">
        <v>0.0</v>
      </c>
      <c r="AA14" s="71">
        <f t="shared" si="5"/>
        <v>0</v>
      </c>
      <c r="AB14" s="53">
        <f t="shared" si="6"/>
        <v>0</v>
      </c>
      <c r="AC14" s="53" t="str">
        <f t="shared" si="7"/>
        <v>D</v>
      </c>
      <c r="AD14" s="67"/>
      <c r="AE14" s="67"/>
      <c r="AF14" s="67"/>
      <c r="AG14" s="67"/>
      <c r="AH14" s="67"/>
    </row>
    <row r="15" ht="24.75" customHeight="1">
      <c r="A15" s="84">
        <v>6.0</v>
      </c>
      <c r="B15" s="85"/>
      <c r="C15" s="136">
        <v>0.0</v>
      </c>
      <c r="D15" s="136">
        <v>0.0</v>
      </c>
      <c r="E15" s="136">
        <v>0.0</v>
      </c>
      <c r="F15" s="136">
        <v>0.0</v>
      </c>
      <c r="G15" s="71">
        <f t="shared" si="1"/>
        <v>0</v>
      </c>
      <c r="H15" s="144">
        <v>0.0</v>
      </c>
      <c r="I15" s="144">
        <v>0.0</v>
      </c>
      <c r="J15" s="144">
        <v>0.0</v>
      </c>
      <c r="K15" s="144">
        <v>0.0</v>
      </c>
      <c r="L15" s="71">
        <f t="shared" si="2"/>
        <v>0</v>
      </c>
      <c r="M15" s="75">
        <v>0.0</v>
      </c>
      <c r="N15" s="76">
        <v>0.0</v>
      </c>
      <c r="O15" s="76">
        <v>0.0</v>
      </c>
      <c r="P15" s="77">
        <v>0.0</v>
      </c>
      <c r="Q15" s="71">
        <f t="shared" si="3"/>
        <v>0</v>
      </c>
      <c r="R15" s="138">
        <v>0.0</v>
      </c>
      <c r="S15" s="138">
        <v>0.0</v>
      </c>
      <c r="T15" s="138">
        <v>0.0</v>
      </c>
      <c r="U15" s="138">
        <v>0.0</v>
      </c>
      <c r="V15" s="71">
        <f t="shared" si="4"/>
        <v>0</v>
      </c>
      <c r="W15" s="39">
        <v>0.0</v>
      </c>
      <c r="X15" s="39">
        <v>0.0</v>
      </c>
      <c r="Y15" s="39">
        <v>0.0</v>
      </c>
      <c r="Z15" s="39">
        <v>0.0</v>
      </c>
      <c r="AA15" s="71">
        <f t="shared" si="5"/>
        <v>0</v>
      </c>
      <c r="AB15" s="53">
        <f t="shared" si="6"/>
        <v>0</v>
      </c>
      <c r="AC15" s="53" t="str">
        <f t="shared" si="7"/>
        <v>D</v>
      </c>
      <c r="AD15" s="67"/>
      <c r="AE15" s="67"/>
      <c r="AF15" s="67"/>
      <c r="AG15" s="67"/>
      <c r="AH15" s="67"/>
    </row>
    <row r="16" ht="24.75" customHeight="1">
      <c r="A16" s="84">
        <v>7.0</v>
      </c>
      <c r="B16" s="85"/>
      <c r="C16" s="136">
        <v>0.0</v>
      </c>
      <c r="D16" s="136">
        <v>0.0</v>
      </c>
      <c r="E16" s="136">
        <v>0.0</v>
      </c>
      <c r="F16" s="136">
        <v>0.0</v>
      </c>
      <c r="G16" s="71">
        <f t="shared" si="1"/>
        <v>0</v>
      </c>
      <c r="H16" s="144">
        <v>0.0</v>
      </c>
      <c r="I16" s="144">
        <v>0.0</v>
      </c>
      <c r="J16" s="144">
        <v>0.0</v>
      </c>
      <c r="K16" s="144">
        <v>0.0</v>
      </c>
      <c r="L16" s="71">
        <f t="shared" si="2"/>
        <v>0</v>
      </c>
      <c r="M16" s="75">
        <v>0.0</v>
      </c>
      <c r="N16" s="76">
        <v>0.0</v>
      </c>
      <c r="O16" s="76">
        <v>0.0</v>
      </c>
      <c r="P16" s="77">
        <v>0.0</v>
      </c>
      <c r="Q16" s="71">
        <f t="shared" si="3"/>
        <v>0</v>
      </c>
      <c r="R16" s="138">
        <v>0.0</v>
      </c>
      <c r="S16" s="138">
        <v>0.0</v>
      </c>
      <c r="T16" s="138">
        <v>0.0</v>
      </c>
      <c r="U16" s="138">
        <v>0.0</v>
      </c>
      <c r="V16" s="71">
        <f t="shared" si="4"/>
        <v>0</v>
      </c>
      <c r="W16" s="39">
        <v>0.0</v>
      </c>
      <c r="X16" s="39">
        <v>0.0</v>
      </c>
      <c r="Y16" s="39">
        <v>0.0</v>
      </c>
      <c r="Z16" s="39">
        <v>0.0</v>
      </c>
      <c r="AA16" s="71">
        <f t="shared" si="5"/>
        <v>0</v>
      </c>
      <c r="AB16" s="53">
        <f t="shared" si="6"/>
        <v>0</v>
      </c>
      <c r="AC16" s="53" t="str">
        <f t="shared" si="7"/>
        <v>D</v>
      </c>
      <c r="AD16" s="67"/>
      <c r="AE16" s="67"/>
      <c r="AF16" s="67"/>
      <c r="AG16" s="67"/>
      <c r="AH16" s="67"/>
    </row>
    <row r="17" ht="24.75" customHeight="1">
      <c r="A17" s="84">
        <v>8.0</v>
      </c>
      <c r="B17" s="85"/>
      <c r="C17" s="136">
        <v>0.0</v>
      </c>
      <c r="D17" s="136">
        <v>0.0</v>
      </c>
      <c r="E17" s="136">
        <v>0.0</v>
      </c>
      <c r="F17" s="136">
        <v>0.0</v>
      </c>
      <c r="G17" s="71">
        <f t="shared" si="1"/>
        <v>0</v>
      </c>
      <c r="H17" s="144">
        <v>0.0</v>
      </c>
      <c r="I17" s="144">
        <v>0.0</v>
      </c>
      <c r="J17" s="144">
        <v>0.0</v>
      </c>
      <c r="K17" s="144">
        <v>0.0</v>
      </c>
      <c r="L17" s="71">
        <f t="shared" si="2"/>
        <v>0</v>
      </c>
      <c r="M17" s="75">
        <v>0.0</v>
      </c>
      <c r="N17" s="76">
        <v>0.0</v>
      </c>
      <c r="O17" s="76">
        <v>0.0</v>
      </c>
      <c r="P17" s="77">
        <v>0.0</v>
      </c>
      <c r="Q17" s="71">
        <f t="shared" si="3"/>
        <v>0</v>
      </c>
      <c r="R17" s="138">
        <v>0.0</v>
      </c>
      <c r="S17" s="138">
        <v>0.0</v>
      </c>
      <c r="T17" s="138">
        <v>0.0</v>
      </c>
      <c r="U17" s="138">
        <v>0.0</v>
      </c>
      <c r="V17" s="71">
        <f t="shared" si="4"/>
        <v>0</v>
      </c>
      <c r="W17" s="39">
        <v>0.0</v>
      </c>
      <c r="X17" s="39">
        <v>0.0</v>
      </c>
      <c r="Y17" s="39">
        <v>0.0</v>
      </c>
      <c r="Z17" s="39">
        <v>0.0</v>
      </c>
      <c r="AA17" s="71">
        <f t="shared" si="5"/>
        <v>0</v>
      </c>
      <c r="AB17" s="53">
        <f t="shared" si="6"/>
        <v>0</v>
      </c>
      <c r="AC17" s="53" t="str">
        <f t="shared" si="7"/>
        <v>D</v>
      </c>
      <c r="AD17" s="67"/>
      <c r="AE17" s="67"/>
      <c r="AF17" s="67"/>
      <c r="AG17" s="67"/>
      <c r="AH17" s="67"/>
    </row>
    <row r="18" ht="24.75" customHeight="1">
      <c r="A18" s="84">
        <v>9.0</v>
      </c>
      <c r="B18" s="85"/>
      <c r="C18" s="136">
        <v>0.0</v>
      </c>
      <c r="D18" s="136">
        <v>0.0</v>
      </c>
      <c r="E18" s="136">
        <v>0.0</v>
      </c>
      <c r="F18" s="136">
        <v>0.0</v>
      </c>
      <c r="G18" s="71">
        <f t="shared" si="1"/>
        <v>0</v>
      </c>
      <c r="H18" s="144">
        <v>0.0</v>
      </c>
      <c r="I18" s="144">
        <v>0.0</v>
      </c>
      <c r="J18" s="144">
        <v>0.0</v>
      </c>
      <c r="K18" s="144">
        <v>0.0</v>
      </c>
      <c r="L18" s="71">
        <f t="shared" si="2"/>
        <v>0</v>
      </c>
      <c r="M18" s="75">
        <v>0.0</v>
      </c>
      <c r="N18" s="76">
        <v>0.0</v>
      </c>
      <c r="O18" s="76">
        <v>0.0</v>
      </c>
      <c r="P18" s="77">
        <v>0.0</v>
      </c>
      <c r="Q18" s="71">
        <f t="shared" si="3"/>
        <v>0</v>
      </c>
      <c r="R18" s="138">
        <v>0.0</v>
      </c>
      <c r="S18" s="138">
        <v>0.0</v>
      </c>
      <c r="T18" s="138">
        <v>0.0</v>
      </c>
      <c r="U18" s="138">
        <v>0.0</v>
      </c>
      <c r="V18" s="71">
        <f t="shared" si="4"/>
        <v>0</v>
      </c>
      <c r="W18" s="39">
        <v>0.0</v>
      </c>
      <c r="X18" s="39">
        <v>0.0</v>
      </c>
      <c r="Y18" s="39">
        <v>0.0</v>
      </c>
      <c r="Z18" s="39">
        <v>0.0</v>
      </c>
      <c r="AA18" s="71">
        <f t="shared" si="5"/>
        <v>0</v>
      </c>
      <c r="AB18" s="53">
        <f t="shared" si="6"/>
        <v>0</v>
      </c>
      <c r="AC18" s="53" t="str">
        <f t="shared" si="7"/>
        <v>D</v>
      </c>
      <c r="AD18" s="67"/>
      <c r="AE18" s="67"/>
      <c r="AF18" s="67"/>
      <c r="AG18" s="67"/>
      <c r="AH18" s="67"/>
    </row>
    <row r="19" ht="24.75" customHeight="1">
      <c r="A19" s="84">
        <v>10.0</v>
      </c>
      <c r="B19" s="85"/>
      <c r="C19" s="136">
        <v>0.0</v>
      </c>
      <c r="D19" s="136">
        <v>0.0</v>
      </c>
      <c r="E19" s="136">
        <v>0.0</v>
      </c>
      <c r="F19" s="136">
        <v>0.0</v>
      </c>
      <c r="G19" s="71">
        <f t="shared" si="1"/>
        <v>0</v>
      </c>
      <c r="H19" s="144">
        <v>0.0</v>
      </c>
      <c r="I19" s="144">
        <v>0.0</v>
      </c>
      <c r="J19" s="144">
        <v>0.0</v>
      </c>
      <c r="K19" s="144">
        <v>0.0</v>
      </c>
      <c r="L19" s="71">
        <f t="shared" si="2"/>
        <v>0</v>
      </c>
      <c r="M19" s="75">
        <v>0.0</v>
      </c>
      <c r="N19" s="76">
        <v>0.0</v>
      </c>
      <c r="O19" s="76">
        <v>0.0</v>
      </c>
      <c r="P19" s="77">
        <v>0.0</v>
      </c>
      <c r="Q19" s="71">
        <f t="shared" si="3"/>
        <v>0</v>
      </c>
      <c r="R19" s="138">
        <v>0.0</v>
      </c>
      <c r="S19" s="138">
        <v>0.0</v>
      </c>
      <c r="T19" s="138">
        <v>0.0</v>
      </c>
      <c r="U19" s="138">
        <v>0.0</v>
      </c>
      <c r="V19" s="71">
        <f t="shared" si="4"/>
        <v>0</v>
      </c>
      <c r="W19" s="39">
        <v>0.0</v>
      </c>
      <c r="X19" s="39">
        <v>0.0</v>
      </c>
      <c r="Y19" s="39">
        <v>0.0</v>
      </c>
      <c r="Z19" s="39">
        <v>0.0</v>
      </c>
      <c r="AA19" s="71">
        <f t="shared" si="5"/>
        <v>0</v>
      </c>
      <c r="AB19" s="53">
        <f t="shared" si="6"/>
        <v>0</v>
      </c>
      <c r="AC19" s="53" t="str">
        <f t="shared" si="7"/>
        <v>D</v>
      </c>
      <c r="AD19" s="67"/>
      <c r="AE19" s="67"/>
      <c r="AF19" s="67"/>
      <c r="AG19" s="67"/>
      <c r="AH19" s="67"/>
    </row>
    <row r="20" ht="24.75" customHeight="1">
      <c r="A20" s="84">
        <v>11.0</v>
      </c>
      <c r="B20" s="85"/>
      <c r="C20" s="136">
        <v>0.0</v>
      </c>
      <c r="D20" s="136">
        <v>0.0</v>
      </c>
      <c r="E20" s="136">
        <v>0.0</v>
      </c>
      <c r="F20" s="136">
        <v>0.0</v>
      </c>
      <c r="G20" s="71">
        <f t="shared" si="1"/>
        <v>0</v>
      </c>
      <c r="H20" s="144">
        <v>0.0</v>
      </c>
      <c r="I20" s="144">
        <v>0.0</v>
      </c>
      <c r="J20" s="144">
        <v>0.0</v>
      </c>
      <c r="K20" s="144">
        <v>0.0</v>
      </c>
      <c r="L20" s="71">
        <f t="shared" si="2"/>
        <v>0</v>
      </c>
      <c r="M20" s="75">
        <v>0.0</v>
      </c>
      <c r="N20" s="76">
        <v>0.0</v>
      </c>
      <c r="O20" s="76">
        <v>0.0</v>
      </c>
      <c r="P20" s="77">
        <v>0.0</v>
      </c>
      <c r="Q20" s="71">
        <f t="shared" si="3"/>
        <v>0</v>
      </c>
      <c r="R20" s="138">
        <v>0.0</v>
      </c>
      <c r="S20" s="138">
        <v>0.0</v>
      </c>
      <c r="T20" s="138">
        <v>0.0</v>
      </c>
      <c r="U20" s="138">
        <v>0.0</v>
      </c>
      <c r="V20" s="71">
        <f t="shared" si="4"/>
        <v>0</v>
      </c>
      <c r="W20" s="39">
        <v>0.0</v>
      </c>
      <c r="X20" s="39">
        <v>0.0</v>
      </c>
      <c r="Y20" s="39">
        <v>0.0</v>
      </c>
      <c r="Z20" s="39">
        <v>0.0</v>
      </c>
      <c r="AA20" s="71">
        <f t="shared" si="5"/>
        <v>0</v>
      </c>
      <c r="AB20" s="53">
        <f t="shared" si="6"/>
        <v>0</v>
      </c>
      <c r="AC20" s="53" t="str">
        <f t="shared" si="7"/>
        <v>D</v>
      </c>
      <c r="AD20" s="67"/>
      <c r="AE20" s="67"/>
      <c r="AF20" s="67"/>
      <c r="AG20" s="67"/>
      <c r="AH20" s="67"/>
    </row>
    <row r="21" ht="24.75" customHeight="1">
      <c r="A21" s="84">
        <v>12.0</v>
      </c>
      <c r="B21" s="85"/>
      <c r="C21" s="136">
        <v>0.0</v>
      </c>
      <c r="D21" s="136">
        <v>0.0</v>
      </c>
      <c r="E21" s="136">
        <v>0.0</v>
      </c>
      <c r="F21" s="136">
        <v>0.0</v>
      </c>
      <c r="G21" s="71">
        <f t="shared" si="1"/>
        <v>0</v>
      </c>
      <c r="H21" s="144">
        <v>0.0</v>
      </c>
      <c r="I21" s="144">
        <v>0.0</v>
      </c>
      <c r="J21" s="144">
        <v>0.0</v>
      </c>
      <c r="K21" s="144">
        <v>0.0</v>
      </c>
      <c r="L21" s="71">
        <f t="shared" si="2"/>
        <v>0</v>
      </c>
      <c r="M21" s="75">
        <v>0.0</v>
      </c>
      <c r="N21" s="76">
        <v>0.0</v>
      </c>
      <c r="O21" s="76">
        <v>0.0</v>
      </c>
      <c r="P21" s="77">
        <v>0.0</v>
      </c>
      <c r="Q21" s="71">
        <f t="shared" si="3"/>
        <v>0</v>
      </c>
      <c r="R21" s="138">
        <v>0.0</v>
      </c>
      <c r="S21" s="138">
        <v>0.0</v>
      </c>
      <c r="T21" s="138">
        <v>0.0</v>
      </c>
      <c r="U21" s="138">
        <v>0.0</v>
      </c>
      <c r="V21" s="71">
        <f t="shared" si="4"/>
        <v>0</v>
      </c>
      <c r="W21" s="39">
        <v>0.0</v>
      </c>
      <c r="X21" s="39">
        <v>0.0</v>
      </c>
      <c r="Y21" s="39">
        <v>0.0</v>
      </c>
      <c r="Z21" s="39">
        <v>0.0</v>
      </c>
      <c r="AA21" s="71">
        <f t="shared" si="5"/>
        <v>0</v>
      </c>
      <c r="AB21" s="53">
        <f t="shared" si="6"/>
        <v>0</v>
      </c>
      <c r="AC21" s="53" t="str">
        <f t="shared" si="7"/>
        <v>D</v>
      </c>
      <c r="AD21" s="67"/>
      <c r="AE21" s="67"/>
      <c r="AF21" s="67"/>
      <c r="AG21" s="67"/>
      <c r="AH21" s="67"/>
    </row>
    <row r="22" ht="24.75" customHeight="1">
      <c r="A22" s="84">
        <v>13.0</v>
      </c>
      <c r="B22" s="85"/>
      <c r="C22" s="136">
        <v>0.0</v>
      </c>
      <c r="D22" s="136">
        <v>0.0</v>
      </c>
      <c r="E22" s="136">
        <v>0.0</v>
      </c>
      <c r="F22" s="136">
        <v>0.0</v>
      </c>
      <c r="G22" s="71">
        <f t="shared" si="1"/>
        <v>0</v>
      </c>
      <c r="H22" s="144">
        <v>0.0</v>
      </c>
      <c r="I22" s="144">
        <v>0.0</v>
      </c>
      <c r="J22" s="144">
        <v>0.0</v>
      </c>
      <c r="K22" s="144">
        <v>0.0</v>
      </c>
      <c r="L22" s="71">
        <f t="shared" si="2"/>
        <v>0</v>
      </c>
      <c r="M22" s="75">
        <v>0.0</v>
      </c>
      <c r="N22" s="76">
        <v>0.0</v>
      </c>
      <c r="O22" s="76">
        <v>0.0</v>
      </c>
      <c r="P22" s="77">
        <v>0.0</v>
      </c>
      <c r="Q22" s="71">
        <f t="shared" si="3"/>
        <v>0</v>
      </c>
      <c r="R22" s="138">
        <v>0.0</v>
      </c>
      <c r="S22" s="138">
        <v>0.0</v>
      </c>
      <c r="T22" s="138">
        <v>0.0</v>
      </c>
      <c r="U22" s="138">
        <v>0.0</v>
      </c>
      <c r="V22" s="71">
        <f t="shared" si="4"/>
        <v>0</v>
      </c>
      <c r="W22" s="39">
        <v>0.0</v>
      </c>
      <c r="X22" s="39">
        <v>0.0</v>
      </c>
      <c r="Y22" s="39">
        <v>0.0</v>
      </c>
      <c r="Z22" s="39">
        <v>0.0</v>
      </c>
      <c r="AA22" s="71">
        <f t="shared" si="5"/>
        <v>0</v>
      </c>
      <c r="AB22" s="53">
        <f t="shared" si="6"/>
        <v>0</v>
      </c>
      <c r="AC22" s="53" t="str">
        <f t="shared" si="7"/>
        <v>D</v>
      </c>
      <c r="AD22" s="67"/>
      <c r="AE22" s="67"/>
      <c r="AF22" s="67"/>
      <c r="AG22" s="67"/>
      <c r="AH22" s="67"/>
    </row>
    <row r="23" ht="24.75" customHeight="1">
      <c r="A23" s="84">
        <v>14.0</v>
      </c>
      <c r="B23" s="85"/>
      <c r="C23" s="136">
        <v>0.0</v>
      </c>
      <c r="D23" s="136">
        <v>0.0</v>
      </c>
      <c r="E23" s="136">
        <v>0.0</v>
      </c>
      <c r="F23" s="136">
        <v>0.0</v>
      </c>
      <c r="G23" s="71">
        <f t="shared" si="1"/>
        <v>0</v>
      </c>
      <c r="H23" s="144">
        <v>0.0</v>
      </c>
      <c r="I23" s="144">
        <v>0.0</v>
      </c>
      <c r="J23" s="144">
        <v>0.0</v>
      </c>
      <c r="K23" s="144">
        <v>0.0</v>
      </c>
      <c r="L23" s="71">
        <f t="shared" si="2"/>
        <v>0</v>
      </c>
      <c r="M23" s="75">
        <v>0.0</v>
      </c>
      <c r="N23" s="76">
        <v>0.0</v>
      </c>
      <c r="O23" s="76">
        <v>0.0</v>
      </c>
      <c r="P23" s="77">
        <v>0.0</v>
      </c>
      <c r="Q23" s="71">
        <f t="shared" si="3"/>
        <v>0</v>
      </c>
      <c r="R23" s="138">
        <v>0.0</v>
      </c>
      <c r="S23" s="138">
        <v>0.0</v>
      </c>
      <c r="T23" s="138">
        <v>0.0</v>
      </c>
      <c r="U23" s="138">
        <v>0.0</v>
      </c>
      <c r="V23" s="71">
        <f t="shared" si="4"/>
        <v>0</v>
      </c>
      <c r="W23" s="39">
        <v>0.0</v>
      </c>
      <c r="X23" s="39">
        <v>0.0</v>
      </c>
      <c r="Y23" s="39">
        <v>0.0</v>
      </c>
      <c r="Z23" s="39">
        <v>0.0</v>
      </c>
      <c r="AA23" s="71">
        <f t="shared" si="5"/>
        <v>0</v>
      </c>
      <c r="AB23" s="53">
        <f t="shared" si="6"/>
        <v>0</v>
      </c>
      <c r="AC23" s="53" t="str">
        <f t="shared" si="7"/>
        <v>D</v>
      </c>
      <c r="AD23" s="67"/>
      <c r="AE23" s="67"/>
      <c r="AF23" s="67"/>
      <c r="AG23" s="67"/>
      <c r="AH23" s="67"/>
    </row>
    <row r="24" ht="24.75" customHeight="1">
      <c r="A24" s="84">
        <v>15.0</v>
      </c>
      <c r="B24" s="85"/>
      <c r="C24" s="136">
        <v>0.0</v>
      </c>
      <c r="D24" s="136">
        <v>0.0</v>
      </c>
      <c r="E24" s="136">
        <v>0.0</v>
      </c>
      <c r="F24" s="136">
        <v>0.0</v>
      </c>
      <c r="G24" s="71">
        <f t="shared" si="1"/>
        <v>0</v>
      </c>
      <c r="H24" s="144">
        <v>0.0</v>
      </c>
      <c r="I24" s="144">
        <v>0.0</v>
      </c>
      <c r="J24" s="144">
        <v>0.0</v>
      </c>
      <c r="K24" s="144">
        <v>0.0</v>
      </c>
      <c r="L24" s="71">
        <f t="shared" si="2"/>
        <v>0</v>
      </c>
      <c r="M24" s="75">
        <v>0.0</v>
      </c>
      <c r="N24" s="76">
        <v>0.0</v>
      </c>
      <c r="O24" s="76">
        <v>0.0</v>
      </c>
      <c r="P24" s="77">
        <v>0.0</v>
      </c>
      <c r="Q24" s="71">
        <f t="shared" si="3"/>
        <v>0</v>
      </c>
      <c r="R24" s="138">
        <v>0.0</v>
      </c>
      <c r="S24" s="138">
        <v>0.0</v>
      </c>
      <c r="T24" s="138">
        <v>0.0</v>
      </c>
      <c r="U24" s="138">
        <v>0.0</v>
      </c>
      <c r="V24" s="71">
        <f t="shared" si="4"/>
        <v>0</v>
      </c>
      <c r="W24" s="39">
        <v>0.0</v>
      </c>
      <c r="X24" s="39">
        <v>0.0</v>
      </c>
      <c r="Y24" s="39">
        <v>0.0</v>
      </c>
      <c r="Z24" s="39">
        <v>0.0</v>
      </c>
      <c r="AA24" s="71">
        <f t="shared" si="5"/>
        <v>0</v>
      </c>
      <c r="AB24" s="53">
        <f t="shared" si="6"/>
        <v>0</v>
      </c>
      <c r="AC24" s="53" t="str">
        <f t="shared" si="7"/>
        <v>D</v>
      </c>
      <c r="AD24" s="67"/>
      <c r="AE24" s="67"/>
      <c r="AF24" s="67"/>
      <c r="AG24" s="67"/>
      <c r="AH24" s="67"/>
    </row>
    <row r="25" ht="24.75" customHeight="1">
      <c r="A25" s="84">
        <v>16.0</v>
      </c>
      <c r="B25" s="85"/>
      <c r="C25" s="136">
        <v>0.0</v>
      </c>
      <c r="D25" s="136">
        <v>0.0</v>
      </c>
      <c r="E25" s="136">
        <v>0.0</v>
      </c>
      <c r="F25" s="136">
        <v>0.0</v>
      </c>
      <c r="G25" s="71">
        <f t="shared" si="1"/>
        <v>0</v>
      </c>
      <c r="H25" s="144">
        <v>0.0</v>
      </c>
      <c r="I25" s="144">
        <v>0.0</v>
      </c>
      <c r="J25" s="144">
        <v>0.0</v>
      </c>
      <c r="K25" s="144">
        <v>0.0</v>
      </c>
      <c r="L25" s="71">
        <f t="shared" si="2"/>
        <v>0</v>
      </c>
      <c r="M25" s="75">
        <v>0.0</v>
      </c>
      <c r="N25" s="76">
        <v>0.0</v>
      </c>
      <c r="O25" s="76">
        <v>0.0</v>
      </c>
      <c r="P25" s="77">
        <v>0.0</v>
      </c>
      <c r="Q25" s="71">
        <f t="shared" si="3"/>
        <v>0</v>
      </c>
      <c r="R25" s="138">
        <v>0.0</v>
      </c>
      <c r="S25" s="138">
        <v>0.0</v>
      </c>
      <c r="T25" s="138">
        <v>0.0</v>
      </c>
      <c r="U25" s="138">
        <v>0.0</v>
      </c>
      <c r="V25" s="71">
        <f t="shared" si="4"/>
        <v>0</v>
      </c>
      <c r="W25" s="39">
        <v>0.0</v>
      </c>
      <c r="X25" s="39">
        <v>0.0</v>
      </c>
      <c r="Y25" s="39">
        <v>0.0</v>
      </c>
      <c r="Z25" s="39">
        <v>0.0</v>
      </c>
      <c r="AA25" s="71">
        <f t="shared" si="5"/>
        <v>0</v>
      </c>
      <c r="AB25" s="53">
        <f t="shared" si="6"/>
        <v>0</v>
      </c>
      <c r="AC25" s="53" t="str">
        <f t="shared" si="7"/>
        <v>D</v>
      </c>
      <c r="AD25" s="67"/>
      <c r="AE25" s="67"/>
      <c r="AF25" s="67"/>
      <c r="AG25" s="67"/>
      <c r="AH25" s="67"/>
    </row>
    <row r="26" ht="24.75" customHeight="1">
      <c r="A26" s="84">
        <v>17.0</v>
      </c>
      <c r="B26" s="85"/>
      <c r="C26" s="136">
        <v>0.0</v>
      </c>
      <c r="D26" s="136">
        <v>0.0</v>
      </c>
      <c r="E26" s="136">
        <v>0.0</v>
      </c>
      <c r="F26" s="136">
        <v>0.0</v>
      </c>
      <c r="G26" s="71">
        <f t="shared" si="1"/>
        <v>0</v>
      </c>
      <c r="H26" s="144">
        <v>0.0</v>
      </c>
      <c r="I26" s="144">
        <v>0.0</v>
      </c>
      <c r="J26" s="144">
        <v>0.0</v>
      </c>
      <c r="K26" s="144">
        <v>0.0</v>
      </c>
      <c r="L26" s="71">
        <f t="shared" si="2"/>
        <v>0</v>
      </c>
      <c r="M26" s="75">
        <v>0.0</v>
      </c>
      <c r="N26" s="76">
        <v>0.0</v>
      </c>
      <c r="O26" s="76">
        <v>0.0</v>
      </c>
      <c r="P26" s="77">
        <v>0.0</v>
      </c>
      <c r="Q26" s="71">
        <f t="shared" si="3"/>
        <v>0</v>
      </c>
      <c r="R26" s="138">
        <v>0.0</v>
      </c>
      <c r="S26" s="138">
        <v>0.0</v>
      </c>
      <c r="T26" s="138">
        <v>0.0</v>
      </c>
      <c r="U26" s="138">
        <v>0.0</v>
      </c>
      <c r="V26" s="71">
        <f t="shared" si="4"/>
        <v>0</v>
      </c>
      <c r="W26" s="39">
        <v>0.0</v>
      </c>
      <c r="X26" s="39">
        <v>0.0</v>
      </c>
      <c r="Y26" s="39">
        <v>0.0</v>
      </c>
      <c r="Z26" s="39">
        <v>0.0</v>
      </c>
      <c r="AA26" s="71">
        <f t="shared" si="5"/>
        <v>0</v>
      </c>
      <c r="AB26" s="53">
        <f t="shared" si="6"/>
        <v>0</v>
      </c>
      <c r="AC26" s="53" t="str">
        <f t="shared" si="7"/>
        <v>D</v>
      </c>
      <c r="AD26" s="67"/>
      <c r="AE26" s="67"/>
      <c r="AF26" s="67"/>
      <c r="AG26" s="67"/>
      <c r="AH26" s="67"/>
    </row>
    <row r="27" ht="24.75" customHeight="1">
      <c r="A27" s="84">
        <v>18.0</v>
      </c>
      <c r="B27" s="85"/>
      <c r="C27" s="136">
        <v>0.0</v>
      </c>
      <c r="D27" s="136">
        <v>0.0</v>
      </c>
      <c r="E27" s="136">
        <v>0.0</v>
      </c>
      <c r="F27" s="136">
        <v>0.0</v>
      </c>
      <c r="G27" s="71">
        <f t="shared" si="1"/>
        <v>0</v>
      </c>
      <c r="H27" s="144">
        <v>0.0</v>
      </c>
      <c r="I27" s="144">
        <v>0.0</v>
      </c>
      <c r="J27" s="144">
        <v>0.0</v>
      </c>
      <c r="K27" s="144">
        <v>0.0</v>
      </c>
      <c r="L27" s="71">
        <f t="shared" si="2"/>
        <v>0</v>
      </c>
      <c r="M27" s="75">
        <v>0.0</v>
      </c>
      <c r="N27" s="76">
        <v>0.0</v>
      </c>
      <c r="O27" s="76">
        <v>0.0</v>
      </c>
      <c r="P27" s="77">
        <v>0.0</v>
      </c>
      <c r="Q27" s="71">
        <f t="shared" si="3"/>
        <v>0</v>
      </c>
      <c r="R27" s="138">
        <v>0.0</v>
      </c>
      <c r="S27" s="138">
        <v>0.0</v>
      </c>
      <c r="T27" s="138">
        <v>0.0</v>
      </c>
      <c r="U27" s="138">
        <v>0.0</v>
      </c>
      <c r="V27" s="71">
        <f t="shared" si="4"/>
        <v>0</v>
      </c>
      <c r="W27" s="39">
        <v>0.0</v>
      </c>
      <c r="X27" s="39">
        <v>0.0</v>
      </c>
      <c r="Y27" s="39">
        <v>0.0</v>
      </c>
      <c r="Z27" s="39">
        <v>0.0</v>
      </c>
      <c r="AA27" s="71">
        <f t="shared" si="5"/>
        <v>0</v>
      </c>
      <c r="AB27" s="53">
        <f t="shared" si="6"/>
        <v>0</v>
      </c>
      <c r="AC27" s="53" t="str">
        <f t="shared" si="7"/>
        <v>D</v>
      </c>
      <c r="AD27" s="67"/>
      <c r="AE27" s="67"/>
      <c r="AF27" s="67"/>
      <c r="AG27" s="67"/>
      <c r="AH27" s="67"/>
    </row>
    <row r="28" ht="24.75" customHeight="1">
      <c r="A28" s="84">
        <v>19.0</v>
      </c>
      <c r="B28" s="85"/>
      <c r="C28" s="136">
        <v>0.0</v>
      </c>
      <c r="D28" s="136">
        <v>0.0</v>
      </c>
      <c r="E28" s="136">
        <v>0.0</v>
      </c>
      <c r="F28" s="136">
        <v>0.0</v>
      </c>
      <c r="G28" s="71">
        <f t="shared" si="1"/>
        <v>0</v>
      </c>
      <c r="H28" s="144">
        <v>0.0</v>
      </c>
      <c r="I28" s="144">
        <v>0.0</v>
      </c>
      <c r="J28" s="144">
        <v>0.0</v>
      </c>
      <c r="K28" s="144">
        <v>0.0</v>
      </c>
      <c r="L28" s="71">
        <f t="shared" si="2"/>
        <v>0</v>
      </c>
      <c r="M28" s="75">
        <v>0.0</v>
      </c>
      <c r="N28" s="76">
        <v>0.0</v>
      </c>
      <c r="O28" s="76">
        <v>0.0</v>
      </c>
      <c r="P28" s="77">
        <v>0.0</v>
      </c>
      <c r="Q28" s="71">
        <f t="shared" si="3"/>
        <v>0</v>
      </c>
      <c r="R28" s="138">
        <v>0.0</v>
      </c>
      <c r="S28" s="138">
        <v>0.0</v>
      </c>
      <c r="T28" s="138">
        <v>0.0</v>
      </c>
      <c r="U28" s="138">
        <v>0.0</v>
      </c>
      <c r="V28" s="71">
        <f t="shared" si="4"/>
        <v>0</v>
      </c>
      <c r="W28" s="39">
        <v>0.0</v>
      </c>
      <c r="X28" s="39">
        <v>0.0</v>
      </c>
      <c r="Y28" s="39">
        <v>0.0</v>
      </c>
      <c r="Z28" s="39">
        <v>0.0</v>
      </c>
      <c r="AA28" s="71">
        <f t="shared" si="5"/>
        <v>0</v>
      </c>
      <c r="AB28" s="53">
        <f t="shared" si="6"/>
        <v>0</v>
      </c>
      <c r="AC28" s="53" t="str">
        <f t="shared" si="7"/>
        <v>D</v>
      </c>
      <c r="AD28" s="67"/>
      <c r="AE28" s="67"/>
      <c r="AF28" s="67"/>
      <c r="AG28" s="67"/>
      <c r="AH28" s="67"/>
    </row>
    <row r="29" ht="24.75" customHeight="1">
      <c r="A29" s="84">
        <v>20.0</v>
      </c>
      <c r="B29" s="85"/>
      <c r="C29" s="136">
        <v>0.0</v>
      </c>
      <c r="D29" s="136">
        <v>0.0</v>
      </c>
      <c r="E29" s="136">
        <v>0.0</v>
      </c>
      <c r="F29" s="136">
        <v>0.0</v>
      </c>
      <c r="G29" s="71">
        <f t="shared" si="1"/>
        <v>0</v>
      </c>
      <c r="H29" s="144">
        <v>0.0</v>
      </c>
      <c r="I29" s="144">
        <v>0.0</v>
      </c>
      <c r="J29" s="144">
        <v>0.0</v>
      </c>
      <c r="K29" s="144">
        <v>0.0</v>
      </c>
      <c r="L29" s="71">
        <f t="shared" si="2"/>
        <v>0</v>
      </c>
      <c r="M29" s="75">
        <v>0.0</v>
      </c>
      <c r="N29" s="76">
        <v>0.0</v>
      </c>
      <c r="O29" s="76">
        <v>0.0</v>
      </c>
      <c r="P29" s="77">
        <v>0.0</v>
      </c>
      <c r="Q29" s="71">
        <f t="shared" si="3"/>
        <v>0</v>
      </c>
      <c r="R29" s="138">
        <v>0.0</v>
      </c>
      <c r="S29" s="138">
        <v>0.0</v>
      </c>
      <c r="T29" s="138">
        <v>0.0</v>
      </c>
      <c r="U29" s="138">
        <v>0.0</v>
      </c>
      <c r="V29" s="71">
        <f t="shared" si="4"/>
        <v>0</v>
      </c>
      <c r="W29" s="39">
        <v>0.0</v>
      </c>
      <c r="X29" s="39">
        <v>0.0</v>
      </c>
      <c r="Y29" s="39">
        <v>0.0</v>
      </c>
      <c r="Z29" s="39">
        <v>0.0</v>
      </c>
      <c r="AA29" s="71">
        <f t="shared" si="5"/>
        <v>0</v>
      </c>
      <c r="AB29" s="53">
        <f t="shared" si="6"/>
        <v>0</v>
      </c>
      <c r="AC29" s="53" t="str">
        <f t="shared" si="7"/>
        <v>D</v>
      </c>
      <c r="AD29" s="67"/>
      <c r="AE29" s="67"/>
      <c r="AF29" s="67"/>
      <c r="AG29" s="67"/>
      <c r="AH29" s="67"/>
    </row>
    <row r="30" ht="24.75" customHeight="1">
      <c r="A30" s="84">
        <v>21.0</v>
      </c>
      <c r="B30" s="85"/>
      <c r="C30" s="136">
        <v>0.0</v>
      </c>
      <c r="D30" s="136">
        <v>0.0</v>
      </c>
      <c r="E30" s="136">
        <v>0.0</v>
      </c>
      <c r="F30" s="136">
        <v>0.0</v>
      </c>
      <c r="G30" s="71">
        <f t="shared" si="1"/>
        <v>0</v>
      </c>
      <c r="H30" s="144">
        <v>0.0</v>
      </c>
      <c r="I30" s="144">
        <v>0.0</v>
      </c>
      <c r="J30" s="144">
        <v>0.0</v>
      </c>
      <c r="K30" s="144">
        <v>0.0</v>
      </c>
      <c r="L30" s="71">
        <f t="shared" si="2"/>
        <v>0</v>
      </c>
      <c r="M30" s="75">
        <v>0.0</v>
      </c>
      <c r="N30" s="76">
        <v>0.0</v>
      </c>
      <c r="O30" s="76">
        <v>0.0</v>
      </c>
      <c r="P30" s="77">
        <v>0.0</v>
      </c>
      <c r="Q30" s="71">
        <f t="shared" si="3"/>
        <v>0</v>
      </c>
      <c r="R30" s="138">
        <v>0.0</v>
      </c>
      <c r="S30" s="138">
        <v>0.0</v>
      </c>
      <c r="T30" s="138">
        <v>0.0</v>
      </c>
      <c r="U30" s="138">
        <v>0.0</v>
      </c>
      <c r="V30" s="71">
        <f t="shared" si="4"/>
        <v>0</v>
      </c>
      <c r="W30" s="39">
        <v>0.0</v>
      </c>
      <c r="X30" s="39">
        <v>0.0</v>
      </c>
      <c r="Y30" s="39">
        <v>0.0</v>
      </c>
      <c r="Z30" s="39">
        <v>0.0</v>
      </c>
      <c r="AA30" s="71">
        <f t="shared" si="5"/>
        <v>0</v>
      </c>
      <c r="AB30" s="53">
        <f t="shared" si="6"/>
        <v>0</v>
      </c>
      <c r="AC30" s="53" t="str">
        <f t="shared" si="7"/>
        <v>D</v>
      </c>
      <c r="AD30" s="67"/>
      <c r="AE30" s="67"/>
      <c r="AF30" s="67"/>
      <c r="AG30" s="67"/>
      <c r="AH30" s="67"/>
    </row>
    <row r="31" ht="24.75" customHeight="1">
      <c r="A31" s="84">
        <v>22.0</v>
      </c>
      <c r="B31" s="85"/>
      <c r="C31" s="136">
        <v>0.0</v>
      </c>
      <c r="D31" s="136">
        <v>0.0</v>
      </c>
      <c r="E31" s="136">
        <v>0.0</v>
      </c>
      <c r="F31" s="136">
        <v>0.0</v>
      </c>
      <c r="G31" s="71">
        <f t="shared" si="1"/>
        <v>0</v>
      </c>
      <c r="H31" s="144">
        <v>0.0</v>
      </c>
      <c r="I31" s="144">
        <v>0.0</v>
      </c>
      <c r="J31" s="144">
        <v>0.0</v>
      </c>
      <c r="K31" s="144">
        <v>0.0</v>
      </c>
      <c r="L31" s="71">
        <f t="shared" si="2"/>
        <v>0</v>
      </c>
      <c r="M31" s="75">
        <v>0.0</v>
      </c>
      <c r="N31" s="76">
        <v>0.0</v>
      </c>
      <c r="O31" s="76">
        <v>0.0</v>
      </c>
      <c r="P31" s="77">
        <v>0.0</v>
      </c>
      <c r="Q31" s="71">
        <f t="shared" si="3"/>
        <v>0</v>
      </c>
      <c r="R31" s="138">
        <v>0.0</v>
      </c>
      <c r="S31" s="138">
        <v>0.0</v>
      </c>
      <c r="T31" s="138">
        <v>0.0</v>
      </c>
      <c r="U31" s="138">
        <v>0.0</v>
      </c>
      <c r="V31" s="71">
        <f t="shared" si="4"/>
        <v>0</v>
      </c>
      <c r="W31" s="39">
        <v>0.0</v>
      </c>
      <c r="X31" s="39">
        <v>0.0</v>
      </c>
      <c r="Y31" s="39">
        <v>0.0</v>
      </c>
      <c r="Z31" s="39">
        <v>0.0</v>
      </c>
      <c r="AA31" s="71">
        <f t="shared" si="5"/>
        <v>0</v>
      </c>
      <c r="AB31" s="53">
        <f t="shared" si="6"/>
        <v>0</v>
      </c>
      <c r="AC31" s="53" t="str">
        <f t="shared" si="7"/>
        <v>D</v>
      </c>
      <c r="AD31" s="67"/>
      <c r="AE31" s="67"/>
      <c r="AF31" s="67"/>
      <c r="AG31" s="67"/>
      <c r="AH31" s="67"/>
    </row>
    <row r="32" ht="24.75" customHeight="1">
      <c r="A32" s="84">
        <v>23.0</v>
      </c>
      <c r="B32" s="85"/>
      <c r="C32" s="136">
        <v>0.0</v>
      </c>
      <c r="D32" s="136">
        <v>0.0</v>
      </c>
      <c r="E32" s="136">
        <v>0.0</v>
      </c>
      <c r="F32" s="136">
        <v>0.0</v>
      </c>
      <c r="G32" s="71">
        <f t="shared" si="1"/>
        <v>0</v>
      </c>
      <c r="H32" s="144">
        <v>0.0</v>
      </c>
      <c r="I32" s="144">
        <v>0.0</v>
      </c>
      <c r="J32" s="144">
        <v>0.0</v>
      </c>
      <c r="K32" s="144">
        <v>0.0</v>
      </c>
      <c r="L32" s="71">
        <f t="shared" si="2"/>
        <v>0</v>
      </c>
      <c r="M32" s="75">
        <v>0.0</v>
      </c>
      <c r="N32" s="76">
        <v>0.0</v>
      </c>
      <c r="O32" s="76">
        <v>0.0</v>
      </c>
      <c r="P32" s="77">
        <v>0.0</v>
      </c>
      <c r="Q32" s="71">
        <f t="shared" si="3"/>
        <v>0</v>
      </c>
      <c r="R32" s="138">
        <v>0.0</v>
      </c>
      <c r="S32" s="138">
        <v>0.0</v>
      </c>
      <c r="T32" s="138">
        <v>0.0</v>
      </c>
      <c r="U32" s="138">
        <v>0.0</v>
      </c>
      <c r="V32" s="71">
        <f t="shared" si="4"/>
        <v>0</v>
      </c>
      <c r="W32" s="39">
        <v>0.0</v>
      </c>
      <c r="X32" s="39">
        <v>0.0</v>
      </c>
      <c r="Y32" s="39">
        <v>0.0</v>
      </c>
      <c r="Z32" s="39">
        <v>0.0</v>
      </c>
      <c r="AA32" s="71">
        <f t="shared" si="5"/>
        <v>0</v>
      </c>
      <c r="AB32" s="53">
        <f t="shared" si="6"/>
        <v>0</v>
      </c>
      <c r="AC32" s="53" t="str">
        <f t="shared" si="7"/>
        <v>D</v>
      </c>
      <c r="AD32" s="67"/>
      <c r="AE32" s="67"/>
      <c r="AF32" s="67"/>
      <c r="AG32" s="67"/>
      <c r="AH32" s="67"/>
    </row>
    <row r="33" ht="24.75" customHeight="1">
      <c r="A33" s="84">
        <v>24.0</v>
      </c>
      <c r="B33" s="85"/>
      <c r="C33" s="136">
        <v>0.0</v>
      </c>
      <c r="D33" s="136">
        <v>0.0</v>
      </c>
      <c r="E33" s="136">
        <v>0.0</v>
      </c>
      <c r="F33" s="136">
        <v>0.0</v>
      </c>
      <c r="G33" s="71">
        <f t="shared" si="1"/>
        <v>0</v>
      </c>
      <c r="H33" s="144">
        <v>0.0</v>
      </c>
      <c r="I33" s="144">
        <v>0.0</v>
      </c>
      <c r="J33" s="144">
        <v>0.0</v>
      </c>
      <c r="K33" s="144">
        <v>0.0</v>
      </c>
      <c r="L33" s="71">
        <f t="shared" si="2"/>
        <v>0</v>
      </c>
      <c r="M33" s="75">
        <v>0.0</v>
      </c>
      <c r="N33" s="76">
        <v>0.0</v>
      </c>
      <c r="O33" s="76">
        <v>0.0</v>
      </c>
      <c r="P33" s="77">
        <v>0.0</v>
      </c>
      <c r="Q33" s="71">
        <f t="shared" si="3"/>
        <v>0</v>
      </c>
      <c r="R33" s="138">
        <v>0.0</v>
      </c>
      <c r="S33" s="138">
        <v>0.0</v>
      </c>
      <c r="T33" s="138">
        <v>0.0</v>
      </c>
      <c r="U33" s="138">
        <v>0.0</v>
      </c>
      <c r="V33" s="71">
        <f t="shared" si="4"/>
        <v>0</v>
      </c>
      <c r="W33" s="39">
        <v>0.0</v>
      </c>
      <c r="X33" s="39">
        <v>0.0</v>
      </c>
      <c r="Y33" s="39">
        <v>0.0</v>
      </c>
      <c r="Z33" s="39">
        <v>0.0</v>
      </c>
      <c r="AA33" s="71">
        <f t="shared" si="5"/>
        <v>0</v>
      </c>
      <c r="AB33" s="53">
        <f t="shared" si="6"/>
        <v>0</v>
      </c>
      <c r="AC33" s="53" t="str">
        <f t="shared" si="7"/>
        <v>D</v>
      </c>
      <c r="AD33" s="67"/>
      <c r="AE33" s="67"/>
      <c r="AF33" s="67"/>
      <c r="AG33" s="67"/>
      <c r="AH33" s="67"/>
    </row>
    <row r="34" ht="24.75" customHeight="1">
      <c r="A34" s="84">
        <v>25.0</v>
      </c>
      <c r="B34" s="85"/>
      <c r="C34" s="136">
        <v>0.0</v>
      </c>
      <c r="D34" s="136">
        <v>0.0</v>
      </c>
      <c r="E34" s="136">
        <v>0.0</v>
      </c>
      <c r="F34" s="136">
        <v>0.0</v>
      </c>
      <c r="G34" s="71">
        <f t="shared" si="1"/>
        <v>0</v>
      </c>
      <c r="H34" s="144">
        <v>0.0</v>
      </c>
      <c r="I34" s="144">
        <v>0.0</v>
      </c>
      <c r="J34" s="144">
        <v>0.0</v>
      </c>
      <c r="K34" s="144">
        <v>0.0</v>
      </c>
      <c r="L34" s="71">
        <f t="shared" si="2"/>
        <v>0</v>
      </c>
      <c r="M34" s="75">
        <v>0.0</v>
      </c>
      <c r="N34" s="76">
        <v>0.0</v>
      </c>
      <c r="O34" s="76">
        <v>0.0</v>
      </c>
      <c r="P34" s="77">
        <v>0.0</v>
      </c>
      <c r="Q34" s="71">
        <f t="shared" si="3"/>
        <v>0</v>
      </c>
      <c r="R34" s="138">
        <v>0.0</v>
      </c>
      <c r="S34" s="138">
        <v>0.0</v>
      </c>
      <c r="T34" s="138">
        <v>0.0</v>
      </c>
      <c r="U34" s="138">
        <v>0.0</v>
      </c>
      <c r="V34" s="71">
        <f t="shared" si="4"/>
        <v>0</v>
      </c>
      <c r="W34" s="39">
        <v>0.0</v>
      </c>
      <c r="X34" s="39">
        <v>0.0</v>
      </c>
      <c r="Y34" s="39">
        <v>0.0</v>
      </c>
      <c r="Z34" s="39">
        <v>0.0</v>
      </c>
      <c r="AA34" s="71">
        <f t="shared" si="5"/>
        <v>0</v>
      </c>
      <c r="AB34" s="53">
        <f t="shared" si="6"/>
        <v>0</v>
      </c>
      <c r="AC34" s="53" t="str">
        <f t="shared" si="7"/>
        <v>D</v>
      </c>
      <c r="AD34" s="67"/>
      <c r="AE34" s="67"/>
      <c r="AF34" s="67"/>
      <c r="AG34" s="67"/>
      <c r="AH34" s="67"/>
    </row>
    <row r="35" ht="24.75" customHeight="1">
      <c r="A35" s="84">
        <v>26.0</v>
      </c>
      <c r="B35" s="85"/>
      <c r="C35" s="136">
        <v>0.0</v>
      </c>
      <c r="D35" s="136">
        <v>0.0</v>
      </c>
      <c r="E35" s="136">
        <v>0.0</v>
      </c>
      <c r="F35" s="136">
        <v>0.0</v>
      </c>
      <c r="G35" s="71">
        <f t="shared" si="1"/>
        <v>0</v>
      </c>
      <c r="H35" s="144">
        <v>0.0</v>
      </c>
      <c r="I35" s="144">
        <v>0.0</v>
      </c>
      <c r="J35" s="144">
        <v>0.0</v>
      </c>
      <c r="K35" s="144">
        <v>0.0</v>
      </c>
      <c r="L35" s="71">
        <f t="shared" si="2"/>
        <v>0</v>
      </c>
      <c r="M35" s="75">
        <v>0.0</v>
      </c>
      <c r="N35" s="76">
        <v>0.0</v>
      </c>
      <c r="O35" s="76">
        <v>0.0</v>
      </c>
      <c r="P35" s="77">
        <v>0.0</v>
      </c>
      <c r="Q35" s="71">
        <f t="shared" si="3"/>
        <v>0</v>
      </c>
      <c r="R35" s="138">
        <v>0.0</v>
      </c>
      <c r="S35" s="138">
        <v>0.0</v>
      </c>
      <c r="T35" s="138">
        <v>0.0</v>
      </c>
      <c r="U35" s="138">
        <v>0.0</v>
      </c>
      <c r="V35" s="71">
        <f t="shared" si="4"/>
        <v>0</v>
      </c>
      <c r="W35" s="39">
        <v>0.0</v>
      </c>
      <c r="X35" s="39">
        <v>0.0</v>
      </c>
      <c r="Y35" s="39">
        <v>0.0</v>
      </c>
      <c r="Z35" s="39">
        <v>0.0</v>
      </c>
      <c r="AA35" s="71">
        <f t="shared" si="5"/>
        <v>0</v>
      </c>
      <c r="AB35" s="53">
        <f t="shared" si="6"/>
        <v>0</v>
      </c>
      <c r="AC35" s="53" t="str">
        <f t="shared" si="7"/>
        <v>D</v>
      </c>
      <c r="AD35" s="67"/>
      <c r="AE35" s="67"/>
      <c r="AF35" s="67"/>
      <c r="AG35" s="67"/>
      <c r="AH35" s="67"/>
    </row>
    <row r="36" ht="24.75" customHeight="1">
      <c r="A36" s="84">
        <v>27.0</v>
      </c>
      <c r="B36" s="85"/>
      <c r="C36" s="136">
        <v>0.0</v>
      </c>
      <c r="D36" s="136">
        <v>0.0</v>
      </c>
      <c r="E36" s="136">
        <v>0.0</v>
      </c>
      <c r="F36" s="136">
        <v>0.0</v>
      </c>
      <c r="G36" s="71">
        <f t="shared" si="1"/>
        <v>0</v>
      </c>
      <c r="H36" s="144">
        <v>0.0</v>
      </c>
      <c r="I36" s="144">
        <v>0.0</v>
      </c>
      <c r="J36" s="144">
        <v>0.0</v>
      </c>
      <c r="K36" s="144">
        <v>0.0</v>
      </c>
      <c r="L36" s="71">
        <f t="shared" si="2"/>
        <v>0</v>
      </c>
      <c r="M36" s="75">
        <v>0.0</v>
      </c>
      <c r="N36" s="76">
        <v>0.0</v>
      </c>
      <c r="O36" s="76">
        <v>0.0</v>
      </c>
      <c r="P36" s="77">
        <v>0.0</v>
      </c>
      <c r="Q36" s="71">
        <f t="shared" si="3"/>
        <v>0</v>
      </c>
      <c r="R36" s="138">
        <v>0.0</v>
      </c>
      <c r="S36" s="138">
        <v>0.0</v>
      </c>
      <c r="T36" s="138">
        <v>0.0</v>
      </c>
      <c r="U36" s="138">
        <v>0.0</v>
      </c>
      <c r="V36" s="71">
        <f t="shared" si="4"/>
        <v>0</v>
      </c>
      <c r="W36" s="39">
        <v>0.0</v>
      </c>
      <c r="X36" s="39">
        <v>0.0</v>
      </c>
      <c r="Y36" s="39">
        <v>0.0</v>
      </c>
      <c r="Z36" s="39">
        <v>0.0</v>
      </c>
      <c r="AA36" s="71">
        <f t="shared" si="5"/>
        <v>0</v>
      </c>
      <c r="AB36" s="53">
        <f t="shared" si="6"/>
        <v>0</v>
      </c>
      <c r="AC36" s="53" t="str">
        <f t="shared" si="7"/>
        <v>D</v>
      </c>
      <c r="AD36" s="67"/>
      <c r="AE36" s="67"/>
      <c r="AF36" s="67"/>
      <c r="AG36" s="67"/>
      <c r="AH36" s="67"/>
    </row>
    <row r="37" ht="24.75" customHeight="1">
      <c r="A37" s="84">
        <v>28.0</v>
      </c>
      <c r="B37" s="85"/>
      <c r="C37" s="136">
        <v>0.0</v>
      </c>
      <c r="D37" s="136">
        <v>0.0</v>
      </c>
      <c r="E37" s="136">
        <v>0.0</v>
      </c>
      <c r="F37" s="136">
        <v>0.0</v>
      </c>
      <c r="G37" s="71">
        <f t="shared" si="1"/>
        <v>0</v>
      </c>
      <c r="H37" s="144">
        <v>0.0</v>
      </c>
      <c r="I37" s="144">
        <v>0.0</v>
      </c>
      <c r="J37" s="144">
        <v>0.0</v>
      </c>
      <c r="K37" s="144">
        <v>0.0</v>
      </c>
      <c r="L37" s="71">
        <f t="shared" si="2"/>
        <v>0</v>
      </c>
      <c r="M37" s="75">
        <v>0.0</v>
      </c>
      <c r="N37" s="76">
        <v>0.0</v>
      </c>
      <c r="O37" s="76">
        <v>0.0</v>
      </c>
      <c r="P37" s="77">
        <v>0.0</v>
      </c>
      <c r="Q37" s="71">
        <f t="shared" si="3"/>
        <v>0</v>
      </c>
      <c r="R37" s="138">
        <v>0.0</v>
      </c>
      <c r="S37" s="138">
        <v>0.0</v>
      </c>
      <c r="T37" s="138">
        <v>0.0</v>
      </c>
      <c r="U37" s="138">
        <v>0.0</v>
      </c>
      <c r="V37" s="71">
        <f t="shared" si="4"/>
        <v>0</v>
      </c>
      <c r="W37" s="39">
        <v>0.0</v>
      </c>
      <c r="X37" s="39">
        <v>0.0</v>
      </c>
      <c r="Y37" s="39">
        <v>0.0</v>
      </c>
      <c r="Z37" s="39">
        <v>0.0</v>
      </c>
      <c r="AA37" s="71">
        <f t="shared" si="5"/>
        <v>0</v>
      </c>
      <c r="AB37" s="53">
        <f t="shared" si="6"/>
        <v>0</v>
      </c>
      <c r="AC37" s="53" t="str">
        <f t="shared" si="7"/>
        <v>D</v>
      </c>
      <c r="AD37" s="67"/>
      <c r="AE37" s="67"/>
      <c r="AF37" s="67"/>
      <c r="AG37" s="67"/>
      <c r="AH37" s="67"/>
    </row>
    <row r="38" ht="24.75" customHeight="1">
      <c r="A38" s="84">
        <v>29.0</v>
      </c>
      <c r="B38" s="85"/>
      <c r="C38" s="136">
        <v>0.0</v>
      </c>
      <c r="D38" s="136">
        <v>0.0</v>
      </c>
      <c r="E38" s="136">
        <v>0.0</v>
      </c>
      <c r="F38" s="136">
        <v>0.0</v>
      </c>
      <c r="G38" s="71">
        <f t="shared" si="1"/>
        <v>0</v>
      </c>
      <c r="H38" s="144">
        <v>0.0</v>
      </c>
      <c r="I38" s="144">
        <v>0.0</v>
      </c>
      <c r="J38" s="144">
        <v>0.0</v>
      </c>
      <c r="K38" s="144">
        <v>0.0</v>
      </c>
      <c r="L38" s="71">
        <f t="shared" si="2"/>
        <v>0</v>
      </c>
      <c r="M38" s="75">
        <v>0.0</v>
      </c>
      <c r="N38" s="76">
        <v>0.0</v>
      </c>
      <c r="O38" s="76">
        <v>0.0</v>
      </c>
      <c r="P38" s="77">
        <v>0.0</v>
      </c>
      <c r="Q38" s="71">
        <f t="shared" si="3"/>
        <v>0</v>
      </c>
      <c r="R38" s="138">
        <v>0.0</v>
      </c>
      <c r="S38" s="138">
        <v>0.0</v>
      </c>
      <c r="T38" s="138">
        <v>0.0</v>
      </c>
      <c r="U38" s="138">
        <v>0.0</v>
      </c>
      <c r="V38" s="71">
        <f t="shared" si="4"/>
        <v>0</v>
      </c>
      <c r="W38" s="39">
        <v>0.0</v>
      </c>
      <c r="X38" s="39">
        <v>0.0</v>
      </c>
      <c r="Y38" s="39">
        <v>0.0</v>
      </c>
      <c r="Z38" s="39">
        <v>0.0</v>
      </c>
      <c r="AA38" s="71">
        <f t="shared" si="5"/>
        <v>0</v>
      </c>
      <c r="AB38" s="53">
        <f t="shared" si="6"/>
        <v>0</v>
      </c>
      <c r="AC38" s="53" t="str">
        <f t="shared" si="7"/>
        <v>D</v>
      </c>
      <c r="AD38" s="67"/>
      <c r="AE38" s="67"/>
      <c r="AF38" s="67"/>
      <c r="AG38" s="67"/>
      <c r="AH38" s="67"/>
    </row>
    <row r="39" ht="24.75" customHeight="1">
      <c r="A39" s="84">
        <v>30.0</v>
      </c>
      <c r="B39" s="85"/>
      <c r="C39" s="136">
        <v>0.0</v>
      </c>
      <c r="D39" s="136">
        <v>0.0</v>
      </c>
      <c r="E39" s="136">
        <v>0.0</v>
      </c>
      <c r="F39" s="136">
        <v>0.0</v>
      </c>
      <c r="G39" s="71">
        <f t="shared" si="1"/>
        <v>0</v>
      </c>
      <c r="H39" s="144">
        <v>0.0</v>
      </c>
      <c r="I39" s="144">
        <v>0.0</v>
      </c>
      <c r="J39" s="144">
        <v>0.0</v>
      </c>
      <c r="K39" s="144">
        <v>0.0</v>
      </c>
      <c r="L39" s="71">
        <f t="shared" si="2"/>
        <v>0</v>
      </c>
      <c r="M39" s="75">
        <v>0.0</v>
      </c>
      <c r="N39" s="76">
        <v>0.0</v>
      </c>
      <c r="O39" s="76">
        <v>0.0</v>
      </c>
      <c r="P39" s="77">
        <v>0.0</v>
      </c>
      <c r="Q39" s="71">
        <f t="shared" si="3"/>
        <v>0</v>
      </c>
      <c r="R39" s="138">
        <v>0.0</v>
      </c>
      <c r="S39" s="138">
        <v>0.0</v>
      </c>
      <c r="T39" s="138">
        <v>0.0</v>
      </c>
      <c r="U39" s="138">
        <v>0.0</v>
      </c>
      <c r="V39" s="71">
        <f t="shared" si="4"/>
        <v>0</v>
      </c>
      <c r="W39" s="39">
        <v>0.0</v>
      </c>
      <c r="X39" s="39">
        <v>0.0</v>
      </c>
      <c r="Y39" s="39">
        <v>0.0</v>
      </c>
      <c r="Z39" s="39">
        <v>0.0</v>
      </c>
      <c r="AA39" s="71">
        <f t="shared" si="5"/>
        <v>0</v>
      </c>
      <c r="AB39" s="53">
        <f t="shared" si="6"/>
        <v>0</v>
      </c>
      <c r="AC39" s="53" t="str">
        <f t="shared" si="7"/>
        <v>D</v>
      </c>
      <c r="AD39" s="67"/>
      <c r="AE39" s="67"/>
      <c r="AF39" s="67"/>
      <c r="AG39" s="67"/>
      <c r="AH39" s="67"/>
    </row>
    <row r="40" ht="24.75" customHeight="1">
      <c r="A40" s="84">
        <v>31.0</v>
      </c>
      <c r="B40" s="85"/>
      <c r="C40" s="136">
        <v>0.0</v>
      </c>
      <c r="D40" s="136">
        <v>0.0</v>
      </c>
      <c r="E40" s="136">
        <v>0.0</v>
      </c>
      <c r="F40" s="136">
        <v>0.0</v>
      </c>
      <c r="G40" s="71">
        <f t="shared" si="1"/>
        <v>0</v>
      </c>
      <c r="H40" s="144">
        <v>0.0</v>
      </c>
      <c r="I40" s="144">
        <v>0.0</v>
      </c>
      <c r="J40" s="144">
        <v>0.0</v>
      </c>
      <c r="K40" s="144">
        <v>0.0</v>
      </c>
      <c r="L40" s="71">
        <f t="shared" si="2"/>
        <v>0</v>
      </c>
      <c r="M40" s="75">
        <v>0.0</v>
      </c>
      <c r="N40" s="76">
        <v>0.0</v>
      </c>
      <c r="O40" s="76">
        <v>0.0</v>
      </c>
      <c r="P40" s="77">
        <v>0.0</v>
      </c>
      <c r="Q40" s="71">
        <f t="shared" si="3"/>
        <v>0</v>
      </c>
      <c r="R40" s="138">
        <v>0.0</v>
      </c>
      <c r="S40" s="138">
        <v>0.0</v>
      </c>
      <c r="T40" s="138">
        <v>0.0</v>
      </c>
      <c r="U40" s="138">
        <v>0.0</v>
      </c>
      <c r="V40" s="71">
        <f t="shared" si="4"/>
        <v>0</v>
      </c>
      <c r="W40" s="39">
        <v>0.0</v>
      </c>
      <c r="X40" s="39">
        <v>0.0</v>
      </c>
      <c r="Y40" s="39">
        <v>0.0</v>
      </c>
      <c r="Z40" s="39">
        <v>0.0</v>
      </c>
      <c r="AA40" s="71">
        <f t="shared" si="5"/>
        <v>0</v>
      </c>
      <c r="AB40" s="53">
        <f t="shared" si="6"/>
        <v>0</v>
      </c>
      <c r="AC40" s="53" t="str">
        <f t="shared" si="7"/>
        <v>D</v>
      </c>
      <c r="AD40" s="67"/>
      <c r="AE40" s="67"/>
      <c r="AF40" s="67"/>
      <c r="AG40" s="67"/>
      <c r="AH40" s="67"/>
    </row>
    <row r="41" ht="24.75" customHeight="1">
      <c r="A41" s="84">
        <v>32.0</v>
      </c>
      <c r="B41" s="85"/>
      <c r="C41" s="136">
        <v>0.0</v>
      </c>
      <c r="D41" s="136">
        <v>0.0</v>
      </c>
      <c r="E41" s="136">
        <v>0.0</v>
      </c>
      <c r="F41" s="136">
        <v>0.0</v>
      </c>
      <c r="G41" s="71">
        <f t="shared" si="1"/>
        <v>0</v>
      </c>
      <c r="H41" s="144">
        <v>0.0</v>
      </c>
      <c r="I41" s="144">
        <v>0.0</v>
      </c>
      <c r="J41" s="144">
        <v>0.0</v>
      </c>
      <c r="K41" s="144">
        <v>0.0</v>
      </c>
      <c r="L41" s="71">
        <f t="shared" si="2"/>
        <v>0</v>
      </c>
      <c r="M41" s="75">
        <v>0.0</v>
      </c>
      <c r="N41" s="76">
        <v>0.0</v>
      </c>
      <c r="O41" s="76">
        <v>0.0</v>
      </c>
      <c r="P41" s="77">
        <v>0.0</v>
      </c>
      <c r="Q41" s="71">
        <f t="shared" si="3"/>
        <v>0</v>
      </c>
      <c r="R41" s="138">
        <v>0.0</v>
      </c>
      <c r="S41" s="138">
        <v>0.0</v>
      </c>
      <c r="T41" s="138">
        <v>0.0</v>
      </c>
      <c r="U41" s="138">
        <v>0.0</v>
      </c>
      <c r="V41" s="71">
        <f t="shared" si="4"/>
        <v>0</v>
      </c>
      <c r="W41" s="39">
        <v>0.0</v>
      </c>
      <c r="X41" s="39">
        <v>0.0</v>
      </c>
      <c r="Y41" s="39">
        <v>0.0</v>
      </c>
      <c r="Z41" s="39">
        <v>0.0</v>
      </c>
      <c r="AA41" s="71">
        <f t="shared" si="5"/>
        <v>0</v>
      </c>
      <c r="AB41" s="53">
        <f t="shared" si="6"/>
        <v>0</v>
      </c>
      <c r="AC41" s="53" t="str">
        <f t="shared" si="7"/>
        <v>D</v>
      </c>
      <c r="AD41" s="67"/>
      <c r="AE41" s="67"/>
      <c r="AF41" s="67"/>
      <c r="AG41" s="67"/>
      <c r="AH41" s="67"/>
    </row>
    <row r="42" ht="24.75" customHeight="1">
      <c r="A42" s="84">
        <v>33.0</v>
      </c>
      <c r="B42" s="85"/>
      <c r="C42" s="136">
        <v>0.0</v>
      </c>
      <c r="D42" s="136">
        <v>0.0</v>
      </c>
      <c r="E42" s="136">
        <v>0.0</v>
      </c>
      <c r="F42" s="136">
        <v>0.0</v>
      </c>
      <c r="G42" s="71">
        <f t="shared" si="1"/>
        <v>0</v>
      </c>
      <c r="H42" s="144">
        <v>0.0</v>
      </c>
      <c r="I42" s="144">
        <v>0.0</v>
      </c>
      <c r="J42" s="144">
        <v>0.0</v>
      </c>
      <c r="K42" s="144">
        <v>0.0</v>
      </c>
      <c r="L42" s="71">
        <f t="shared" si="2"/>
        <v>0</v>
      </c>
      <c r="M42" s="75">
        <v>0.0</v>
      </c>
      <c r="N42" s="76">
        <v>0.0</v>
      </c>
      <c r="O42" s="76">
        <v>0.0</v>
      </c>
      <c r="P42" s="77">
        <v>0.0</v>
      </c>
      <c r="Q42" s="71">
        <f t="shared" si="3"/>
        <v>0</v>
      </c>
      <c r="R42" s="138">
        <v>0.0</v>
      </c>
      <c r="S42" s="138">
        <v>0.0</v>
      </c>
      <c r="T42" s="138">
        <v>0.0</v>
      </c>
      <c r="U42" s="138">
        <v>0.0</v>
      </c>
      <c r="V42" s="71">
        <f t="shared" si="4"/>
        <v>0</v>
      </c>
      <c r="W42" s="39">
        <v>0.0</v>
      </c>
      <c r="X42" s="39">
        <v>0.0</v>
      </c>
      <c r="Y42" s="39">
        <v>0.0</v>
      </c>
      <c r="Z42" s="39">
        <v>0.0</v>
      </c>
      <c r="AA42" s="71">
        <f t="shared" si="5"/>
        <v>0</v>
      </c>
      <c r="AB42" s="53">
        <f t="shared" si="6"/>
        <v>0</v>
      </c>
      <c r="AC42" s="53" t="str">
        <f t="shared" si="7"/>
        <v>D</v>
      </c>
      <c r="AD42" s="67"/>
      <c r="AE42" s="67"/>
      <c r="AF42" s="67"/>
      <c r="AG42" s="67"/>
      <c r="AH42" s="67"/>
    </row>
    <row r="43" ht="24.75" customHeight="1">
      <c r="A43" s="84">
        <v>34.0</v>
      </c>
      <c r="B43" s="85"/>
      <c r="C43" s="136">
        <v>0.0</v>
      </c>
      <c r="D43" s="136">
        <v>0.0</v>
      </c>
      <c r="E43" s="136">
        <v>0.0</v>
      </c>
      <c r="F43" s="136">
        <v>0.0</v>
      </c>
      <c r="G43" s="71">
        <f t="shared" si="1"/>
        <v>0</v>
      </c>
      <c r="H43" s="144">
        <v>0.0</v>
      </c>
      <c r="I43" s="144">
        <v>0.0</v>
      </c>
      <c r="J43" s="144">
        <v>0.0</v>
      </c>
      <c r="K43" s="144">
        <v>0.0</v>
      </c>
      <c r="L43" s="71">
        <f t="shared" si="2"/>
        <v>0</v>
      </c>
      <c r="M43" s="75">
        <v>0.0</v>
      </c>
      <c r="N43" s="76">
        <v>0.0</v>
      </c>
      <c r="O43" s="76">
        <v>0.0</v>
      </c>
      <c r="P43" s="77">
        <v>0.0</v>
      </c>
      <c r="Q43" s="71">
        <f t="shared" si="3"/>
        <v>0</v>
      </c>
      <c r="R43" s="138">
        <v>0.0</v>
      </c>
      <c r="S43" s="138">
        <v>0.0</v>
      </c>
      <c r="T43" s="138">
        <v>0.0</v>
      </c>
      <c r="U43" s="138">
        <v>0.0</v>
      </c>
      <c r="V43" s="71">
        <f t="shared" si="4"/>
        <v>0</v>
      </c>
      <c r="W43" s="39">
        <v>0.0</v>
      </c>
      <c r="X43" s="39">
        <v>0.0</v>
      </c>
      <c r="Y43" s="39">
        <v>0.0</v>
      </c>
      <c r="Z43" s="39">
        <v>0.0</v>
      </c>
      <c r="AA43" s="71">
        <f t="shared" si="5"/>
        <v>0</v>
      </c>
      <c r="AB43" s="53">
        <f t="shared" si="6"/>
        <v>0</v>
      </c>
      <c r="AC43" s="53" t="str">
        <f t="shared" si="7"/>
        <v>D</v>
      </c>
      <c r="AD43" s="67"/>
      <c r="AE43" s="67"/>
      <c r="AF43" s="67"/>
      <c r="AG43" s="67"/>
      <c r="AH43" s="67"/>
    </row>
    <row r="44" ht="24.75" customHeight="1">
      <c r="A44" s="84">
        <v>35.0</v>
      </c>
      <c r="B44" s="85"/>
      <c r="C44" s="136">
        <v>0.0</v>
      </c>
      <c r="D44" s="136">
        <v>0.0</v>
      </c>
      <c r="E44" s="136">
        <v>0.0</v>
      </c>
      <c r="F44" s="136">
        <v>0.0</v>
      </c>
      <c r="G44" s="71">
        <f t="shared" si="1"/>
        <v>0</v>
      </c>
      <c r="H44" s="144">
        <v>0.0</v>
      </c>
      <c r="I44" s="144">
        <v>0.0</v>
      </c>
      <c r="J44" s="144">
        <v>0.0</v>
      </c>
      <c r="K44" s="144">
        <v>0.0</v>
      </c>
      <c r="L44" s="71">
        <f t="shared" si="2"/>
        <v>0</v>
      </c>
      <c r="M44" s="75">
        <v>0.0</v>
      </c>
      <c r="N44" s="76">
        <v>0.0</v>
      </c>
      <c r="O44" s="76">
        <v>0.0</v>
      </c>
      <c r="P44" s="77">
        <v>0.0</v>
      </c>
      <c r="Q44" s="71">
        <f t="shared" si="3"/>
        <v>0</v>
      </c>
      <c r="R44" s="138">
        <v>0.0</v>
      </c>
      <c r="S44" s="138">
        <v>0.0</v>
      </c>
      <c r="T44" s="138">
        <v>0.0</v>
      </c>
      <c r="U44" s="138">
        <v>0.0</v>
      </c>
      <c r="V44" s="71">
        <f t="shared" si="4"/>
        <v>0</v>
      </c>
      <c r="W44" s="39">
        <v>0.0</v>
      </c>
      <c r="X44" s="39">
        <v>0.0</v>
      </c>
      <c r="Y44" s="39">
        <v>0.0</v>
      </c>
      <c r="Z44" s="39">
        <v>0.0</v>
      </c>
      <c r="AA44" s="71">
        <f t="shared" si="5"/>
        <v>0</v>
      </c>
      <c r="AB44" s="53">
        <f t="shared" si="6"/>
        <v>0</v>
      </c>
      <c r="AC44" s="53" t="str">
        <f t="shared" si="7"/>
        <v>D</v>
      </c>
      <c r="AD44" s="67"/>
      <c r="AE44" s="67"/>
      <c r="AF44" s="67"/>
      <c r="AG44" s="67"/>
      <c r="AH44" s="67"/>
    </row>
    <row r="45" ht="24.75" customHeight="1">
      <c r="A45" s="84">
        <v>36.0</v>
      </c>
      <c r="B45" s="85"/>
      <c r="C45" s="136">
        <v>0.0</v>
      </c>
      <c r="D45" s="136">
        <v>0.0</v>
      </c>
      <c r="E45" s="136">
        <v>0.0</v>
      </c>
      <c r="F45" s="136">
        <v>0.0</v>
      </c>
      <c r="G45" s="71">
        <f t="shared" si="1"/>
        <v>0</v>
      </c>
      <c r="H45" s="144">
        <v>0.0</v>
      </c>
      <c r="I45" s="144">
        <v>0.0</v>
      </c>
      <c r="J45" s="144">
        <v>0.0</v>
      </c>
      <c r="K45" s="144">
        <v>0.0</v>
      </c>
      <c r="L45" s="71">
        <f t="shared" si="2"/>
        <v>0</v>
      </c>
      <c r="M45" s="75">
        <v>0.0</v>
      </c>
      <c r="N45" s="76">
        <v>0.0</v>
      </c>
      <c r="O45" s="76">
        <v>0.0</v>
      </c>
      <c r="P45" s="77">
        <v>0.0</v>
      </c>
      <c r="Q45" s="71">
        <f t="shared" si="3"/>
        <v>0</v>
      </c>
      <c r="R45" s="138">
        <v>0.0</v>
      </c>
      <c r="S45" s="138">
        <v>0.0</v>
      </c>
      <c r="T45" s="138">
        <v>0.0</v>
      </c>
      <c r="U45" s="138">
        <v>0.0</v>
      </c>
      <c r="V45" s="71">
        <f t="shared" si="4"/>
        <v>0</v>
      </c>
      <c r="W45" s="39">
        <v>0.0</v>
      </c>
      <c r="X45" s="39">
        <v>0.0</v>
      </c>
      <c r="Y45" s="39">
        <v>0.0</v>
      </c>
      <c r="Z45" s="39">
        <v>0.0</v>
      </c>
      <c r="AA45" s="71">
        <f t="shared" si="5"/>
        <v>0</v>
      </c>
      <c r="AB45" s="53">
        <f t="shared" si="6"/>
        <v>0</v>
      </c>
      <c r="AC45" s="53" t="str">
        <f t="shared" si="7"/>
        <v>D</v>
      </c>
      <c r="AD45" s="67"/>
      <c r="AE45" s="67"/>
      <c r="AF45" s="67"/>
      <c r="AG45" s="67"/>
      <c r="AH45" s="67"/>
    </row>
    <row r="46" ht="24.75" customHeight="1">
      <c r="A46" s="84">
        <v>37.0</v>
      </c>
      <c r="B46" s="85"/>
      <c r="C46" s="136">
        <v>0.0</v>
      </c>
      <c r="D46" s="136">
        <v>0.0</v>
      </c>
      <c r="E46" s="136">
        <v>0.0</v>
      </c>
      <c r="F46" s="136">
        <v>0.0</v>
      </c>
      <c r="G46" s="71">
        <f t="shared" si="1"/>
        <v>0</v>
      </c>
      <c r="H46" s="144">
        <v>0.0</v>
      </c>
      <c r="I46" s="144">
        <v>0.0</v>
      </c>
      <c r="J46" s="144">
        <v>0.0</v>
      </c>
      <c r="K46" s="144">
        <v>0.0</v>
      </c>
      <c r="L46" s="71">
        <f t="shared" si="2"/>
        <v>0</v>
      </c>
      <c r="M46" s="75">
        <v>0.0</v>
      </c>
      <c r="N46" s="76">
        <v>0.0</v>
      </c>
      <c r="O46" s="76">
        <v>0.0</v>
      </c>
      <c r="P46" s="77">
        <v>0.0</v>
      </c>
      <c r="Q46" s="71">
        <f t="shared" si="3"/>
        <v>0</v>
      </c>
      <c r="R46" s="138">
        <v>0.0</v>
      </c>
      <c r="S46" s="138">
        <v>0.0</v>
      </c>
      <c r="T46" s="138">
        <v>0.0</v>
      </c>
      <c r="U46" s="138">
        <v>0.0</v>
      </c>
      <c r="V46" s="71">
        <f t="shared" si="4"/>
        <v>0</v>
      </c>
      <c r="W46" s="39">
        <v>0.0</v>
      </c>
      <c r="X46" s="39">
        <v>0.0</v>
      </c>
      <c r="Y46" s="39">
        <v>0.0</v>
      </c>
      <c r="Z46" s="39">
        <v>0.0</v>
      </c>
      <c r="AA46" s="71">
        <f t="shared" si="5"/>
        <v>0</v>
      </c>
      <c r="AB46" s="53">
        <f t="shared" si="6"/>
        <v>0</v>
      </c>
      <c r="AC46" s="53" t="str">
        <f t="shared" si="7"/>
        <v>D</v>
      </c>
      <c r="AD46" s="67"/>
      <c r="AE46" s="67"/>
      <c r="AF46" s="67"/>
      <c r="AG46" s="67"/>
      <c r="AH46" s="67"/>
    </row>
    <row r="47" ht="24.75" customHeight="1">
      <c r="A47" s="84">
        <v>38.0</v>
      </c>
      <c r="B47" s="85"/>
      <c r="C47" s="136">
        <v>0.0</v>
      </c>
      <c r="D47" s="136">
        <v>0.0</v>
      </c>
      <c r="E47" s="136">
        <v>0.0</v>
      </c>
      <c r="F47" s="136">
        <v>0.0</v>
      </c>
      <c r="G47" s="71">
        <f t="shared" si="1"/>
        <v>0</v>
      </c>
      <c r="H47" s="144">
        <v>0.0</v>
      </c>
      <c r="I47" s="144">
        <v>0.0</v>
      </c>
      <c r="J47" s="144">
        <v>0.0</v>
      </c>
      <c r="K47" s="144">
        <v>0.0</v>
      </c>
      <c r="L47" s="71">
        <f t="shared" si="2"/>
        <v>0</v>
      </c>
      <c r="M47" s="75">
        <v>0.0</v>
      </c>
      <c r="N47" s="76">
        <v>0.0</v>
      </c>
      <c r="O47" s="76">
        <v>0.0</v>
      </c>
      <c r="P47" s="77">
        <v>0.0</v>
      </c>
      <c r="Q47" s="71">
        <f t="shared" si="3"/>
        <v>0</v>
      </c>
      <c r="R47" s="138">
        <v>0.0</v>
      </c>
      <c r="S47" s="138">
        <v>0.0</v>
      </c>
      <c r="T47" s="138">
        <v>0.0</v>
      </c>
      <c r="U47" s="138">
        <v>0.0</v>
      </c>
      <c r="V47" s="71">
        <f t="shared" si="4"/>
        <v>0</v>
      </c>
      <c r="W47" s="39">
        <v>0.0</v>
      </c>
      <c r="X47" s="39">
        <v>0.0</v>
      </c>
      <c r="Y47" s="39">
        <v>0.0</v>
      </c>
      <c r="Z47" s="39">
        <v>0.0</v>
      </c>
      <c r="AA47" s="71">
        <f t="shared" si="5"/>
        <v>0</v>
      </c>
      <c r="AB47" s="53">
        <f t="shared" si="6"/>
        <v>0</v>
      </c>
      <c r="AC47" s="53" t="str">
        <f t="shared" si="7"/>
        <v>D</v>
      </c>
      <c r="AD47" s="67"/>
      <c r="AE47" s="67"/>
      <c r="AF47" s="67"/>
      <c r="AG47" s="67"/>
      <c r="AH47" s="67"/>
    </row>
    <row r="48" ht="24.75" customHeight="1">
      <c r="A48" s="84">
        <v>39.0</v>
      </c>
      <c r="B48" s="85"/>
      <c r="C48" s="136">
        <v>0.0</v>
      </c>
      <c r="D48" s="136">
        <v>0.0</v>
      </c>
      <c r="E48" s="136">
        <v>0.0</v>
      </c>
      <c r="F48" s="136">
        <v>0.0</v>
      </c>
      <c r="G48" s="71">
        <f t="shared" si="1"/>
        <v>0</v>
      </c>
      <c r="H48" s="144">
        <v>0.0</v>
      </c>
      <c r="I48" s="144">
        <v>0.0</v>
      </c>
      <c r="J48" s="144">
        <v>0.0</v>
      </c>
      <c r="K48" s="144">
        <v>0.0</v>
      </c>
      <c r="L48" s="71">
        <f t="shared" si="2"/>
        <v>0</v>
      </c>
      <c r="M48" s="75">
        <v>0.0</v>
      </c>
      <c r="N48" s="76">
        <v>0.0</v>
      </c>
      <c r="O48" s="76">
        <v>0.0</v>
      </c>
      <c r="P48" s="77">
        <v>0.0</v>
      </c>
      <c r="Q48" s="71">
        <f t="shared" si="3"/>
        <v>0</v>
      </c>
      <c r="R48" s="138">
        <v>0.0</v>
      </c>
      <c r="S48" s="138">
        <v>0.0</v>
      </c>
      <c r="T48" s="138">
        <v>0.0</v>
      </c>
      <c r="U48" s="138">
        <v>0.0</v>
      </c>
      <c r="V48" s="71">
        <f t="shared" si="4"/>
        <v>0</v>
      </c>
      <c r="W48" s="39">
        <v>0.0</v>
      </c>
      <c r="X48" s="39">
        <v>0.0</v>
      </c>
      <c r="Y48" s="39">
        <v>0.0</v>
      </c>
      <c r="Z48" s="39">
        <v>0.0</v>
      </c>
      <c r="AA48" s="71">
        <f t="shared" si="5"/>
        <v>0</v>
      </c>
      <c r="AB48" s="53">
        <f t="shared" si="6"/>
        <v>0</v>
      </c>
      <c r="AC48" s="53" t="str">
        <f t="shared" si="7"/>
        <v>D</v>
      </c>
      <c r="AD48" s="67"/>
      <c r="AE48" s="67"/>
      <c r="AF48" s="67"/>
      <c r="AG48" s="67"/>
      <c r="AH48" s="67"/>
    </row>
    <row r="49" ht="24.75" customHeight="1">
      <c r="A49" s="84">
        <v>40.0</v>
      </c>
      <c r="B49" s="85"/>
      <c r="C49" s="136">
        <v>0.0</v>
      </c>
      <c r="D49" s="136">
        <v>0.0</v>
      </c>
      <c r="E49" s="136">
        <v>0.0</v>
      </c>
      <c r="F49" s="136">
        <v>0.0</v>
      </c>
      <c r="G49" s="71">
        <f t="shared" si="1"/>
        <v>0</v>
      </c>
      <c r="H49" s="144">
        <v>0.0</v>
      </c>
      <c r="I49" s="144">
        <v>0.0</v>
      </c>
      <c r="J49" s="144">
        <v>0.0</v>
      </c>
      <c r="K49" s="144">
        <v>0.0</v>
      </c>
      <c r="L49" s="71">
        <f t="shared" si="2"/>
        <v>0</v>
      </c>
      <c r="M49" s="75">
        <v>0.0</v>
      </c>
      <c r="N49" s="76">
        <v>0.0</v>
      </c>
      <c r="O49" s="76">
        <v>0.0</v>
      </c>
      <c r="P49" s="77">
        <v>0.0</v>
      </c>
      <c r="Q49" s="71">
        <f t="shared" si="3"/>
        <v>0</v>
      </c>
      <c r="R49" s="138">
        <v>0.0</v>
      </c>
      <c r="S49" s="138">
        <v>0.0</v>
      </c>
      <c r="T49" s="138">
        <v>0.0</v>
      </c>
      <c r="U49" s="138">
        <v>0.0</v>
      </c>
      <c r="V49" s="71">
        <f t="shared" si="4"/>
        <v>0</v>
      </c>
      <c r="W49" s="39">
        <v>0.0</v>
      </c>
      <c r="X49" s="39">
        <v>0.0</v>
      </c>
      <c r="Y49" s="39">
        <v>0.0</v>
      </c>
      <c r="Z49" s="39">
        <v>0.0</v>
      </c>
      <c r="AA49" s="71">
        <f t="shared" si="5"/>
        <v>0</v>
      </c>
      <c r="AB49" s="53">
        <f t="shared" si="6"/>
        <v>0</v>
      </c>
      <c r="AC49" s="53" t="str">
        <f t="shared" si="7"/>
        <v>D</v>
      </c>
      <c r="AD49" s="67"/>
      <c r="AE49" s="67"/>
      <c r="AF49" s="67"/>
      <c r="AG49" s="67"/>
      <c r="AH49" s="67"/>
    </row>
    <row r="50" ht="24.75" customHeight="1">
      <c r="A50" s="84">
        <v>41.0</v>
      </c>
      <c r="B50" s="85"/>
      <c r="C50" s="136">
        <v>0.0</v>
      </c>
      <c r="D50" s="136">
        <v>0.0</v>
      </c>
      <c r="E50" s="136">
        <v>0.0</v>
      </c>
      <c r="F50" s="136">
        <v>0.0</v>
      </c>
      <c r="G50" s="71">
        <f t="shared" si="1"/>
        <v>0</v>
      </c>
      <c r="H50" s="144">
        <v>0.0</v>
      </c>
      <c r="I50" s="144">
        <v>0.0</v>
      </c>
      <c r="J50" s="144">
        <v>0.0</v>
      </c>
      <c r="K50" s="144">
        <v>0.0</v>
      </c>
      <c r="L50" s="71">
        <f t="shared" si="2"/>
        <v>0</v>
      </c>
      <c r="M50" s="75">
        <v>0.0</v>
      </c>
      <c r="N50" s="76">
        <v>0.0</v>
      </c>
      <c r="O50" s="76">
        <v>0.0</v>
      </c>
      <c r="P50" s="77">
        <v>0.0</v>
      </c>
      <c r="Q50" s="71">
        <f t="shared" si="3"/>
        <v>0</v>
      </c>
      <c r="R50" s="138">
        <v>0.0</v>
      </c>
      <c r="S50" s="138">
        <v>0.0</v>
      </c>
      <c r="T50" s="138">
        <v>0.0</v>
      </c>
      <c r="U50" s="138">
        <v>0.0</v>
      </c>
      <c r="V50" s="71">
        <f t="shared" si="4"/>
        <v>0</v>
      </c>
      <c r="W50" s="39">
        <v>0.0</v>
      </c>
      <c r="X50" s="39">
        <v>0.0</v>
      </c>
      <c r="Y50" s="39">
        <v>0.0</v>
      </c>
      <c r="Z50" s="39">
        <v>0.0</v>
      </c>
      <c r="AA50" s="71">
        <f t="shared" si="5"/>
        <v>0</v>
      </c>
      <c r="AB50" s="53">
        <f t="shared" si="6"/>
        <v>0</v>
      </c>
      <c r="AC50" s="53" t="str">
        <f t="shared" si="7"/>
        <v>D</v>
      </c>
      <c r="AD50" s="67"/>
      <c r="AE50" s="67"/>
      <c r="AF50" s="67"/>
      <c r="AG50" s="67"/>
      <c r="AH50" s="67"/>
    </row>
    <row r="51" ht="24.75" customHeight="1">
      <c r="A51" s="84">
        <v>42.0</v>
      </c>
      <c r="B51" s="85"/>
      <c r="C51" s="136">
        <v>0.0</v>
      </c>
      <c r="D51" s="136">
        <v>0.0</v>
      </c>
      <c r="E51" s="136">
        <v>0.0</v>
      </c>
      <c r="F51" s="136">
        <v>0.0</v>
      </c>
      <c r="G51" s="71">
        <f t="shared" si="1"/>
        <v>0</v>
      </c>
      <c r="H51" s="144">
        <v>0.0</v>
      </c>
      <c r="I51" s="144">
        <v>0.0</v>
      </c>
      <c r="J51" s="144">
        <v>0.0</v>
      </c>
      <c r="K51" s="144">
        <v>0.0</v>
      </c>
      <c r="L51" s="71">
        <f t="shared" si="2"/>
        <v>0</v>
      </c>
      <c r="M51" s="75">
        <v>0.0</v>
      </c>
      <c r="N51" s="76">
        <v>0.0</v>
      </c>
      <c r="O51" s="76">
        <v>0.0</v>
      </c>
      <c r="P51" s="77">
        <v>0.0</v>
      </c>
      <c r="Q51" s="71">
        <f t="shared" si="3"/>
        <v>0</v>
      </c>
      <c r="R51" s="138">
        <v>0.0</v>
      </c>
      <c r="S51" s="138">
        <v>0.0</v>
      </c>
      <c r="T51" s="138">
        <v>0.0</v>
      </c>
      <c r="U51" s="138">
        <v>0.0</v>
      </c>
      <c r="V51" s="71">
        <f t="shared" si="4"/>
        <v>0</v>
      </c>
      <c r="W51" s="39">
        <v>0.0</v>
      </c>
      <c r="X51" s="39">
        <v>0.0</v>
      </c>
      <c r="Y51" s="39">
        <v>0.0</v>
      </c>
      <c r="Z51" s="39">
        <v>0.0</v>
      </c>
      <c r="AA51" s="71">
        <f t="shared" si="5"/>
        <v>0</v>
      </c>
      <c r="AB51" s="53">
        <f t="shared" si="6"/>
        <v>0</v>
      </c>
      <c r="AC51" s="53" t="str">
        <f t="shared" si="7"/>
        <v>D</v>
      </c>
      <c r="AD51" s="67"/>
      <c r="AE51" s="67"/>
      <c r="AF51" s="67"/>
      <c r="AG51" s="67"/>
      <c r="AH51" s="67"/>
    </row>
    <row r="52" ht="24.75" customHeight="1">
      <c r="A52" s="84">
        <v>43.0</v>
      </c>
      <c r="B52" s="85"/>
      <c r="C52" s="136">
        <v>0.0</v>
      </c>
      <c r="D52" s="136">
        <v>0.0</v>
      </c>
      <c r="E52" s="136">
        <v>0.0</v>
      </c>
      <c r="F52" s="136">
        <v>0.0</v>
      </c>
      <c r="G52" s="71">
        <f t="shared" si="1"/>
        <v>0</v>
      </c>
      <c r="H52" s="144">
        <v>0.0</v>
      </c>
      <c r="I52" s="144">
        <v>0.0</v>
      </c>
      <c r="J52" s="144">
        <v>0.0</v>
      </c>
      <c r="K52" s="144">
        <v>0.0</v>
      </c>
      <c r="L52" s="71">
        <f t="shared" si="2"/>
        <v>0</v>
      </c>
      <c r="M52" s="75">
        <v>0.0</v>
      </c>
      <c r="N52" s="76">
        <v>0.0</v>
      </c>
      <c r="O52" s="76">
        <v>0.0</v>
      </c>
      <c r="P52" s="77">
        <v>0.0</v>
      </c>
      <c r="Q52" s="71">
        <f t="shared" si="3"/>
        <v>0</v>
      </c>
      <c r="R52" s="138">
        <v>0.0</v>
      </c>
      <c r="S52" s="138">
        <v>0.0</v>
      </c>
      <c r="T52" s="138">
        <v>0.0</v>
      </c>
      <c r="U52" s="138">
        <v>0.0</v>
      </c>
      <c r="V52" s="71">
        <f t="shared" si="4"/>
        <v>0</v>
      </c>
      <c r="W52" s="39">
        <v>0.0</v>
      </c>
      <c r="X52" s="39">
        <v>0.0</v>
      </c>
      <c r="Y52" s="39">
        <v>0.0</v>
      </c>
      <c r="Z52" s="39">
        <v>0.0</v>
      </c>
      <c r="AA52" s="71">
        <f t="shared" si="5"/>
        <v>0</v>
      </c>
      <c r="AB52" s="53">
        <f t="shared" si="6"/>
        <v>0</v>
      </c>
      <c r="AC52" s="53" t="str">
        <f t="shared" si="7"/>
        <v>D</v>
      </c>
      <c r="AD52" s="67"/>
      <c r="AE52" s="67"/>
      <c r="AF52" s="67"/>
      <c r="AG52" s="67"/>
      <c r="AH52" s="67"/>
    </row>
    <row r="53" ht="24.75" customHeight="1">
      <c r="A53" s="84">
        <v>44.0</v>
      </c>
      <c r="B53" s="85"/>
      <c r="C53" s="136">
        <v>0.0</v>
      </c>
      <c r="D53" s="136">
        <v>0.0</v>
      </c>
      <c r="E53" s="136">
        <v>0.0</v>
      </c>
      <c r="F53" s="136">
        <v>0.0</v>
      </c>
      <c r="G53" s="71">
        <f t="shared" si="1"/>
        <v>0</v>
      </c>
      <c r="H53" s="144">
        <v>0.0</v>
      </c>
      <c r="I53" s="144">
        <v>0.0</v>
      </c>
      <c r="J53" s="144">
        <v>0.0</v>
      </c>
      <c r="K53" s="144">
        <v>0.0</v>
      </c>
      <c r="L53" s="71">
        <f t="shared" si="2"/>
        <v>0</v>
      </c>
      <c r="M53" s="75">
        <v>0.0</v>
      </c>
      <c r="N53" s="76">
        <v>0.0</v>
      </c>
      <c r="O53" s="76">
        <v>0.0</v>
      </c>
      <c r="P53" s="77">
        <v>0.0</v>
      </c>
      <c r="Q53" s="71">
        <f t="shared" si="3"/>
        <v>0</v>
      </c>
      <c r="R53" s="138">
        <v>0.0</v>
      </c>
      <c r="S53" s="138">
        <v>0.0</v>
      </c>
      <c r="T53" s="138">
        <v>0.0</v>
      </c>
      <c r="U53" s="138">
        <v>0.0</v>
      </c>
      <c r="V53" s="71">
        <f t="shared" si="4"/>
        <v>0</v>
      </c>
      <c r="W53" s="39">
        <v>0.0</v>
      </c>
      <c r="X53" s="39">
        <v>0.0</v>
      </c>
      <c r="Y53" s="39">
        <v>0.0</v>
      </c>
      <c r="Z53" s="39">
        <v>0.0</v>
      </c>
      <c r="AA53" s="71">
        <f t="shared" si="5"/>
        <v>0</v>
      </c>
      <c r="AB53" s="53">
        <f t="shared" si="6"/>
        <v>0</v>
      </c>
      <c r="AC53" s="53" t="str">
        <f t="shared" si="7"/>
        <v>D</v>
      </c>
      <c r="AD53" s="67"/>
      <c r="AE53" s="67"/>
      <c r="AF53" s="67"/>
      <c r="AG53" s="67"/>
      <c r="AH53" s="67"/>
    </row>
    <row r="54" ht="24.75" customHeight="1">
      <c r="A54" s="84">
        <v>45.0</v>
      </c>
      <c r="B54" s="85"/>
      <c r="C54" s="136">
        <v>0.0</v>
      </c>
      <c r="D54" s="136">
        <v>0.0</v>
      </c>
      <c r="E54" s="136">
        <v>0.0</v>
      </c>
      <c r="F54" s="136">
        <v>0.0</v>
      </c>
      <c r="G54" s="71">
        <f t="shared" si="1"/>
        <v>0</v>
      </c>
      <c r="H54" s="144">
        <v>0.0</v>
      </c>
      <c r="I54" s="144">
        <v>0.0</v>
      </c>
      <c r="J54" s="144">
        <v>0.0</v>
      </c>
      <c r="K54" s="144">
        <v>0.0</v>
      </c>
      <c r="L54" s="71">
        <f t="shared" si="2"/>
        <v>0</v>
      </c>
      <c r="M54" s="75">
        <v>0.0</v>
      </c>
      <c r="N54" s="76">
        <v>0.0</v>
      </c>
      <c r="O54" s="76">
        <v>0.0</v>
      </c>
      <c r="P54" s="77">
        <v>0.0</v>
      </c>
      <c r="Q54" s="71">
        <f t="shared" si="3"/>
        <v>0</v>
      </c>
      <c r="R54" s="138">
        <v>0.0</v>
      </c>
      <c r="S54" s="138">
        <v>0.0</v>
      </c>
      <c r="T54" s="138">
        <v>0.0</v>
      </c>
      <c r="U54" s="138">
        <v>0.0</v>
      </c>
      <c r="V54" s="71">
        <f t="shared" si="4"/>
        <v>0</v>
      </c>
      <c r="W54" s="39">
        <v>0.0</v>
      </c>
      <c r="X54" s="39">
        <v>0.0</v>
      </c>
      <c r="Y54" s="39">
        <v>0.0</v>
      </c>
      <c r="Z54" s="39">
        <v>0.0</v>
      </c>
      <c r="AA54" s="71">
        <f t="shared" si="5"/>
        <v>0</v>
      </c>
      <c r="AB54" s="53">
        <f t="shared" si="6"/>
        <v>0</v>
      </c>
      <c r="AC54" s="53" t="str">
        <f t="shared" si="7"/>
        <v>D</v>
      </c>
      <c r="AD54" s="67"/>
      <c r="AE54" s="67"/>
      <c r="AF54" s="67"/>
      <c r="AG54" s="67"/>
      <c r="AH54" s="67"/>
    </row>
    <row r="55" ht="24.75" customHeight="1">
      <c r="A55" s="84">
        <v>46.0</v>
      </c>
      <c r="B55" s="85"/>
      <c r="C55" s="136">
        <v>0.0</v>
      </c>
      <c r="D55" s="136">
        <v>0.0</v>
      </c>
      <c r="E55" s="136">
        <v>0.0</v>
      </c>
      <c r="F55" s="136">
        <v>0.0</v>
      </c>
      <c r="G55" s="71">
        <f t="shared" si="1"/>
        <v>0</v>
      </c>
      <c r="H55" s="144">
        <v>0.0</v>
      </c>
      <c r="I55" s="144">
        <v>0.0</v>
      </c>
      <c r="J55" s="144">
        <v>0.0</v>
      </c>
      <c r="K55" s="144">
        <v>0.0</v>
      </c>
      <c r="L55" s="71">
        <f t="shared" si="2"/>
        <v>0</v>
      </c>
      <c r="M55" s="75">
        <v>0.0</v>
      </c>
      <c r="N55" s="76">
        <v>0.0</v>
      </c>
      <c r="O55" s="76">
        <v>0.0</v>
      </c>
      <c r="P55" s="77">
        <v>0.0</v>
      </c>
      <c r="Q55" s="71">
        <f t="shared" si="3"/>
        <v>0</v>
      </c>
      <c r="R55" s="138">
        <v>0.0</v>
      </c>
      <c r="S55" s="138">
        <v>0.0</v>
      </c>
      <c r="T55" s="138">
        <v>0.0</v>
      </c>
      <c r="U55" s="138">
        <v>0.0</v>
      </c>
      <c r="V55" s="71">
        <f t="shared" si="4"/>
        <v>0</v>
      </c>
      <c r="W55" s="39">
        <v>0.0</v>
      </c>
      <c r="X55" s="39">
        <v>0.0</v>
      </c>
      <c r="Y55" s="39">
        <v>0.0</v>
      </c>
      <c r="Z55" s="39">
        <v>0.0</v>
      </c>
      <c r="AA55" s="71">
        <f t="shared" si="5"/>
        <v>0</v>
      </c>
      <c r="AB55" s="53">
        <f t="shared" si="6"/>
        <v>0</v>
      </c>
      <c r="AC55" s="53" t="str">
        <f t="shared" si="7"/>
        <v>D</v>
      </c>
      <c r="AD55" s="67"/>
      <c r="AE55" s="67"/>
      <c r="AF55" s="67"/>
      <c r="AG55" s="67"/>
      <c r="AH55" s="67"/>
    </row>
    <row r="56" ht="24.75" customHeight="1">
      <c r="A56" s="84">
        <v>47.0</v>
      </c>
      <c r="B56" s="85"/>
      <c r="C56" s="136">
        <v>0.0</v>
      </c>
      <c r="D56" s="136">
        <v>0.0</v>
      </c>
      <c r="E56" s="136">
        <v>0.0</v>
      </c>
      <c r="F56" s="136">
        <v>0.0</v>
      </c>
      <c r="G56" s="71">
        <f t="shared" si="1"/>
        <v>0</v>
      </c>
      <c r="H56" s="144">
        <v>0.0</v>
      </c>
      <c r="I56" s="144">
        <v>0.0</v>
      </c>
      <c r="J56" s="144">
        <v>0.0</v>
      </c>
      <c r="K56" s="144">
        <v>0.0</v>
      </c>
      <c r="L56" s="71">
        <f t="shared" si="2"/>
        <v>0</v>
      </c>
      <c r="M56" s="75">
        <v>0.0</v>
      </c>
      <c r="N56" s="76">
        <v>0.0</v>
      </c>
      <c r="O56" s="76">
        <v>0.0</v>
      </c>
      <c r="P56" s="77">
        <v>0.0</v>
      </c>
      <c r="Q56" s="71">
        <f t="shared" si="3"/>
        <v>0</v>
      </c>
      <c r="R56" s="138">
        <v>0.0</v>
      </c>
      <c r="S56" s="138">
        <v>0.0</v>
      </c>
      <c r="T56" s="138">
        <v>0.0</v>
      </c>
      <c r="U56" s="138">
        <v>0.0</v>
      </c>
      <c r="V56" s="71">
        <f t="shared" si="4"/>
        <v>0</v>
      </c>
      <c r="W56" s="39">
        <v>0.0</v>
      </c>
      <c r="X56" s="39">
        <v>0.0</v>
      </c>
      <c r="Y56" s="39">
        <v>0.0</v>
      </c>
      <c r="Z56" s="39">
        <v>0.0</v>
      </c>
      <c r="AA56" s="71">
        <f t="shared" si="5"/>
        <v>0</v>
      </c>
      <c r="AB56" s="53">
        <f t="shared" si="6"/>
        <v>0</v>
      </c>
      <c r="AC56" s="53" t="str">
        <f t="shared" si="7"/>
        <v>D</v>
      </c>
      <c r="AD56" s="67"/>
      <c r="AE56" s="67"/>
      <c r="AF56" s="67"/>
      <c r="AG56" s="67"/>
      <c r="AH56" s="67"/>
    </row>
    <row r="57" ht="24.75" customHeight="1">
      <c r="A57" s="84">
        <v>48.0</v>
      </c>
      <c r="B57" s="85"/>
      <c r="C57" s="136">
        <v>0.0</v>
      </c>
      <c r="D57" s="136">
        <v>0.0</v>
      </c>
      <c r="E57" s="136">
        <v>0.0</v>
      </c>
      <c r="F57" s="136">
        <v>0.0</v>
      </c>
      <c r="G57" s="71">
        <f t="shared" si="1"/>
        <v>0</v>
      </c>
      <c r="H57" s="144">
        <v>0.0</v>
      </c>
      <c r="I57" s="144">
        <v>0.0</v>
      </c>
      <c r="J57" s="144">
        <v>0.0</v>
      </c>
      <c r="K57" s="144">
        <v>0.0</v>
      </c>
      <c r="L57" s="71">
        <f t="shared" si="2"/>
        <v>0</v>
      </c>
      <c r="M57" s="75">
        <v>0.0</v>
      </c>
      <c r="N57" s="76">
        <v>0.0</v>
      </c>
      <c r="O57" s="76">
        <v>0.0</v>
      </c>
      <c r="P57" s="77">
        <v>0.0</v>
      </c>
      <c r="Q57" s="71">
        <f t="shared" si="3"/>
        <v>0</v>
      </c>
      <c r="R57" s="138">
        <v>0.0</v>
      </c>
      <c r="S57" s="138">
        <v>0.0</v>
      </c>
      <c r="T57" s="138">
        <v>0.0</v>
      </c>
      <c r="U57" s="138">
        <v>0.0</v>
      </c>
      <c r="V57" s="71">
        <f t="shared" si="4"/>
        <v>0</v>
      </c>
      <c r="W57" s="39">
        <v>0.0</v>
      </c>
      <c r="X57" s="39">
        <v>0.0</v>
      </c>
      <c r="Y57" s="39">
        <v>0.0</v>
      </c>
      <c r="Z57" s="39">
        <v>0.0</v>
      </c>
      <c r="AA57" s="71">
        <f t="shared" si="5"/>
        <v>0</v>
      </c>
      <c r="AB57" s="53">
        <f t="shared" si="6"/>
        <v>0</v>
      </c>
      <c r="AC57" s="53" t="str">
        <f t="shared" si="7"/>
        <v>D</v>
      </c>
      <c r="AD57" s="67"/>
      <c r="AE57" s="67"/>
      <c r="AF57" s="67"/>
      <c r="AG57" s="67"/>
      <c r="AH57" s="67"/>
    </row>
    <row r="58" ht="24.75" customHeight="1">
      <c r="A58" s="84">
        <v>49.0</v>
      </c>
      <c r="B58" s="85"/>
      <c r="C58" s="136">
        <v>0.0</v>
      </c>
      <c r="D58" s="136">
        <v>0.0</v>
      </c>
      <c r="E58" s="136">
        <v>0.0</v>
      </c>
      <c r="F58" s="136">
        <v>0.0</v>
      </c>
      <c r="G58" s="71">
        <f t="shared" si="1"/>
        <v>0</v>
      </c>
      <c r="H58" s="144">
        <v>0.0</v>
      </c>
      <c r="I58" s="144">
        <v>0.0</v>
      </c>
      <c r="J58" s="144">
        <v>0.0</v>
      </c>
      <c r="K58" s="144">
        <v>0.0</v>
      </c>
      <c r="L58" s="71">
        <f t="shared" si="2"/>
        <v>0</v>
      </c>
      <c r="M58" s="75">
        <v>0.0</v>
      </c>
      <c r="N58" s="76">
        <v>0.0</v>
      </c>
      <c r="O58" s="76">
        <v>0.0</v>
      </c>
      <c r="P58" s="77">
        <v>0.0</v>
      </c>
      <c r="Q58" s="71">
        <f t="shared" si="3"/>
        <v>0</v>
      </c>
      <c r="R58" s="138">
        <v>0.0</v>
      </c>
      <c r="S58" s="138">
        <v>0.0</v>
      </c>
      <c r="T58" s="138">
        <v>0.0</v>
      </c>
      <c r="U58" s="138">
        <v>0.0</v>
      </c>
      <c r="V58" s="71">
        <f t="shared" si="4"/>
        <v>0</v>
      </c>
      <c r="W58" s="39">
        <v>0.0</v>
      </c>
      <c r="X58" s="39">
        <v>0.0</v>
      </c>
      <c r="Y58" s="39">
        <v>0.0</v>
      </c>
      <c r="Z58" s="39">
        <v>0.0</v>
      </c>
      <c r="AA58" s="71">
        <f t="shared" si="5"/>
        <v>0</v>
      </c>
      <c r="AB58" s="53">
        <f t="shared" si="6"/>
        <v>0</v>
      </c>
      <c r="AC58" s="53" t="str">
        <f t="shared" si="7"/>
        <v>D</v>
      </c>
      <c r="AD58" s="67"/>
      <c r="AE58" s="67"/>
      <c r="AF58" s="67"/>
      <c r="AG58" s="67"/>
      <c r="AH58" s="67"/>
    </row>
    <row r="59" ht="24.75" customHeight="1">
      <c r="A59" s="86">
        <v>50.0</v>
      </c>
      <c r="B59" s="87"/>
      <c r="C59" s="136">
        <v>0.0</v>
      </c>
      <c r="D59" s="136">
        <v>0.0</v>
      </c>
      <c r="E59" s="136">
        <v>0.0</v>
      </c>
      <c r="F59" s="136">
        <v>0.0</v>
      </c>
      <c r="G59" s="91">
        <f t="shared" si="1"/>
        <v>0</v>
      </c>
      <c r="H59" s="144">
        <v>0.0</v>
      </c>
      <c r="I59" s="144">
        <v>0.0</v>
      </c>
      <c r="J59" s="144">
        <v>0.0</v>
      </c>
      <c r="K59" s="144">
        <v>0.0</v>
      </c>
      <c r="L59" s="91">
        <f t="shared" si="2"/>
        <v>0</v>
      </c>
      <c r="M59" s="95">
        <v>0.0</v>
      </c>
      <c r="N59" s="96">
        <v>0.0</v>
      </c>
      <c r="O59" s="96">
        <v>0.0</v>
      </c>
      <c r="P59" s="97">
        <v>0.0</v>
      </c>
      <c r="Q59" s="91">
        <f t="shared" si="3"/>
        <v>0</v>
      </c>
      <c r="R59" s="138">
        <v>0.0</v>
      </c>
      <c r="S59" s="138">
        <v>0.0</v>
      </c>
      <c r="T59" s="138">
        <v>0.0</v>
      </c>
      <c r="U59" s="138">
        <v>0.0</v>
      </c>
      <c r="V59" s="91">
        <f t="shared" si="4"/>
        <v>0</v>
      </c>
      <c r="W59" s="39">
        <v>0.0</v>
      </c>
      <c r="X59" s="39">
        <v>0.0</v>
      </c>
      <c r="Y59" s="39">
        <v>0.0</v>
      </c>
      <c r="Z59" s="39">
        <v>0.0</v>
      </c>
      <c r="AA59" s="91">
        <f t="shared" si="5"/>
        <v>0</v>
      </c>
      <c r="AB59" s="91">
        <f t="shared" si="6"/>
        <v>0</v>
      </c>
      <c r="AC59" s="91" t="str">
        <f t="shared" si="7"/>
        <v>D</v>
      </c>
      <c r="AD59" s="67"/>
      <c r="AE59" s="67"/>
      <c r="AF59" s="67"/>
      <c r="AG59" s="67"/>
      <c r="AH59" s="67"/>
    </row>
    <row r="60" ht="15.75" customHeight="1">
      <c r="A60" s="104"/>
      <c r="B60" s="105"/>
      <c r="C60" s="105"/>
      <c r="D60" s="105"/>
      <c r="E60" s="105"/>
      <c r="F60" s="105"/>
      <c r="G60" s="10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6"/>
      <c r="AD60" s="67"/>
      <c r="AE60" s="67"/>
      <c r="AF60" s="67"/>
      <c r="AG60" s="67"/>
      <c r="AH60" s="67"/>
    </row>
    <row r="61" ht="15.75" customHeight="1">
      <c r="A61" s="104"/>
      <c r="B61" s="105"/>
      <c r="C61" s="105"/>
      <c r="D61" s="105"/>
      <c r="E61" s="105"/>
      <c r="F61" s="105"/>
      <c r="G61" s="10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6"/>
      <c r="AD61" s="67"/>
      <c r="AE61" s="67"/>
      <c r="AF61" s="67"/>
      <c r="AG61" s="67"/>
      <c r="AH61" s="67"/>
    </row>
    <row r="62" ht="15.75" customHeight="1">
      <c r="A62" s="104"/>
      <c r="B62" s="105"/>
      <c r="C62" s="105"/>
      <c r="D62" s="105"/>
      <c r="E62" s="105"/>
      <c r="F62" s="105"/>
      <c r="G62" s="10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67"/>
      <c r="AE62" s="67"/>
      <c r="AF62" s="67"/>
      <c r="AG62" s="67"/>
      <c r="AH62" s="67"/>
    </row>
    <row r="63" ht="15.75" customHeight="1">
      <c r="A63" s="104"/>
      <c r="B63" s="105"/>
      <c r="C63" s="105"/>
      <c r="D63" s="105"/>
      <c r="E63" s="105"/>
      <c r="F63" s="105"/>
      <c r="G63" s="10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6"/>
      <c r="AD63" s="67"/>
      <c r="AE63" s="67"/>
      <c r="AF63" s="67"/>
      <c r="AG63" s="67"/>
      <c r="AH63" s="67"/>
    </row>
    <row r="64" ht="15.75" customHeight="1">
      <c r="A64" s="104"/>
      <c r="B64" s="105"/>
      <c r="C64" s="105"/>
      <c r="D64" s="105"/>
      <c r="E64" s="105"/>
      <c r="F64" s="105"/>
      <c r="G64" s="10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6"/>
      <c r="AD64" s="67"/>
      <c r="AE64" s="67"/>
      <c r="AF64" s="67"/>
      <c r="AG64" s="67"/>
      <c r="AH64" s="67"/>
    </row>
    <row r="65" ht="15.75" customHeight="1">
      <c r="A65" s="104"/>
      <c r="B65" s="105"/>
      <c r="C65" s="105"/>
      <c r="D65" s="105"/>
      <c r="E65" s="105"/>
      <c r="F65" s="105"/>
      <c r="G65" s="10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6"/>
      <c r="AD65" s="67"/>
      <c r="AE65" s="67"/>
      <c r="AF65" s="67"/>
      <c r="AG65" s="67"/>
      <c r="AH65" s="67"/>
    </row>
    <row r="66" ht="15.75" customHeight="1">
      <c r="A66" s="104"/>
      <c r="B66" s="105"/>
      <c r="C66" s="105"/>
      <c r="D66" s="105"/>
      <c r="E66" s="105"/>
      <c r="F66" s="105"/>
      <c r="G66" s="10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6"/>
      <c r="AD66" s="67"/>
      <c r="AE66" s="67"/>
      <c r="AF66" s="67"/>
      <c r="AG66" s="67"/>
      <c r="AH66" s="67"/>
    </row>
    <row r="67" ht="15.75" customHeight="1">
      <c r="A67" s="104"/>
      <c r="B67" s="105"/>
      <c r="C67" s="105"/>
      <c r="D67" s="105"/>
      <c r="E67" s="105"/>
      <c r="F67" s="105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6"/>
      <c r="AD67" s="67"/>
      <c r="AE67" s="67"/>
      <c r="AF67" s="67"/>
      <c r="AG67" s="67"/>
      <c r="AH67" s="67"/>
    </row>
    <row r="68" ht="15.75" customHeight="1">
      <c r="A68" s="104"/>
      <c r="B68" s="105"/>
      <c r="C68" s="105"/>
      <c r="D68" s="105"/>
      <c r="E68" s="105"/>
      <c r="F68" s="105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6"/>
      <c r="AD68" s="67"/>
      <c r="AE68" s="67"/>
      <c r="AF68" s="67"/>
      <c r="AG68" s="67"/>
      <c r="AH68" s="67"/>
    </row>
    <row r="69" ht="15.75" customHeight="1">
      <c r="A69" s="104"/>
      <c r="B69" s="105"/>
      <c r="C69" s="105"/>
      <c r="D69" s="105"/>
      <c r="E69" s="105"/>
      <c r="F69" s="105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6"/>
      <c r="AD69" s="67"/>
      <c r="AE69" s="67"/>
      <c r="AF69" s="67"/>
      <c r="AG69" s="67"/>
      <c r="AH69" s="67"/>
    </row>
    <row r="70" ht="15.75" customHeight="1">
      <c r="A70" s="104"/>
      <c r="B70" s="105"/>
      <c r="C70" s="105"/>
      <c r="D70" s="105"/>
      <c r="E70" s="105"/>
      <c r="F70" s="105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6"/>
      <c r="AD70" s="67"/>
      <c r="AE70" s="67"/>
      <c r="AF70" s="67"/>
      <c r="AG70" s="67"/>
      <c r="AH70" s="67"/>
    </row>
    <row r="71" ht="15.75" customHeight="1">
      <c r="A71" s="104"/>
      <c r="B71" s="105"/>
      <c r="C71" s="105"/>
      <c r="D71" s="105"/>
      <c r="E71" s="105"/>
      <c r="F71" s="105"/>
      <c r="G71" s="10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6"/>
      <c r="AD71" s="67"/>
      <c r="AE71" s="67"/>
      <c r="AF71" s="67"/>
      <c r="AG71" s="67"/>
      <c r="AH71" s="67"/>
    </row>
    <row r="72" ht="15.75" customHeight="1">
      <c r="A72" s="104"/>
      <c r="B72" s="105"/>
      <c r="C72" s="105"/>
      <c r="D72" s="105"/>
      <c r="E72" s="105"/>
      <c r="F72" s="105"/>
      <c r="G72" s="10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6"/>
      <c r="AD72" s="67"/>
      <c r="AE72" s="67"/>
      <c r="AF72" s="67"/>
      <c r="AG72" s="67"/>
      <c r="AH72" s="67"/>
    </row>
    <row r="73" ht="15.75" customHeight="1">
      <c r="A73" s="104"/>
      <c r="B73" s="105"/>
      <c r="C73" s="105"/>
      <c r="D73" s="105"/>
      <c r="E73" s="105"/>
      <c r="F73" s="105"/>
      <c r="G73" s="10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6"/>
      <c r="AD73" s="67"/>
      <c r="AE73" s="67"/>
      <c r="AF73" s="67"/>
      <c r="AG73" s="67"/>
      <c r="AH73" s="67"/>
    </row>
    <row r="74" ht="15.75" customHeight="1">
      <c r="A74" s="104"/>
      <c r="B74" s="105"/>
      <c r="C74" s="105"/>
      <c r="D74" s="105"/>
      <c r="E74" s="105"/>
      <c r="F74" s="105"/>
      <c r="G74" s="10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6"/>
      <c r="AD74" s="67"/>
      <c r="AE74" s="67"/>
      <c r="AF74" s="67"/>
      <c r="AG74" s="67"/>
      <c r="AH74" s="67"/>
    </row>
    <row r="75" ht="15.75" customHeight="1">
      <c r="A75" s="104"/>
      <c r="B75" s="105"/>
      <c r="C75" s="105"/>
      <c r="D75" s="105"/>
      <c r="E75" s="105"/>
      <c r="F75" s="105"/>
      <c r="G75" s="10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6"/>
      <c r="AD75" s="67"/>
      <c r="AE75" s="67"/>
      <c r="AF75" s="67"/>
      <c r="AG75" s="67"/>
      <c r="AH75" s="67"/>
    </row>
    <row r="76" ht="15.75" customHeight="1">
      <c r="A76" s="104"/>
      <c r="B76" s="105"/>
      <c r="C76" s="105"/>
      <c r="D76" s="105"/>
      <c r="E76" s="105"/>
      <c r="F76" s="105"/>
      <c r="G76" s="10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6"/>
      <c r="AD76" s="67"/>
      <c r="AE76" s="67"/>
      <c r="AF76" s="67"/>
      <c r="AG76" s="67"/>
      <c r="AH76" s="67"/>
    </row>
    <row r="77" ht="15.75" customHeight="1">
      <c r="A77" s="104"/>
      <c r="B77" s="105"/>
      <c r="C77" s="105"/>
      <c r="D77" s="105"/>
      <c r="E77" s="105"/>
      <c r="F77" s="105"/>
      <c r="G77" s="10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6"/>
      <c r="AD77" s="67"/>
      <c r="AE77" s="67"/>
      <c r="AF77" s="67"/>
      <c r="AG77" s="67"/>
      <c r="AH77" s="67"/>
    </row>
    <row r="78" ht="15.75" customHeight="1">
      <c r="A78" s="104"/>
      <c r="B78" s="105"/>
      <c r="C78" s="105"/>
      <c r="D78" s="105"/>
      <c r="E78" s="105"/>
      <c r="F78" s="105"/>
      <c r="G78" s="10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6"/>
      <c r="AD78" s="67"/>
      <c r="AE78" s="67"/>
      <c r="AF78" s="67"/>
      <c r="AG78" s="67"/>
      <c r="AH78" s="67"/>
    </row>
    <row r="79" ht="15.75" customHeight="1">
      <c r="A79" s="104"/>
      <c r="B79" s="105"/>
      <c r="C79" s="105"/>
      <c r="D79" s="105"/>
      <c r="E79" s="105"/>
      <c r="F79" s="105"/>
      <c r="G79" s="10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6"/>
      <c r="AD79" s="67"/>
      <c r="AE79" s="67"/>
      <c r="AF79" s="67"/>
      <c r="AG79" s="67"/>
      <c r="AH79" s="67"/>
    </row>
    <row r="80" ht="15.75" customHeight="1">
      <c r="A80" s="104"/>
      <c r="B80" s="105"/>
      <c r="C80" s="105"/>
      <c r="D80" s="105"/>
      <c r="E80" s="105"/>
      <c r="F80" s="105"/>
      <c r="G80" s="10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6"/>
      <c r="AD80" s="67"/>
      <c r="AE80" s="67"/>
      <c r="AF80" s="67"/>
      <c r="AG80" s="67"/>
      <c r="AH80" s="67"/>
    </row>
    <row r="81" ht="15.75" customHeight="1">
      <c r="A81" s="104"/>
      <c r="B81" s="105"/>
      <c r="C81" s="105"/>
      <c r="D81" s="105"/>
      <c r="E81" s="105"/>
      <c r="F81" s="105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6"/>
      <c r="AD81" s="67"/>
      <c r="AE81" s="67"/>
      <c r="AF81" s="67"/>
      <c r="AG81" s="67"/>
      <c r="AH81" s="67"/>
    </row>
    <row r="82" ht="15.75" customHeight="1">
      <c r="A82" s="104"/>
      <c r="B82" s="105"/>
      <c r="C82" s="105"/>
      <c r="D82" s="105"/>
      <c r="E82" s="105"/>
      <c r="F82" s="105"/>
      <c r="G82" s="10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6"/>
      <c r="AD82" s="67"/>
      <c r="AE82" s="67"/>
      <c r="AF82" s="67"/>
      <c r="AG82" s="67"/>
      <c r="AH82" s="67"/>
    </row>
    <row r="83" ht="15.75" customHeight="1">
      <c r="A83" s="104"/>
      <c r="B83" s="105"/>
      <c r="C83" s="105"/>
      <c r="D83" s="105"/>
      <c r="E83" s="105"/>
      <c r="F83" s="105"/>
      <c r="G83" s="10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6"/>
      <c r="AD83" s="67"/>
      <c r="AE83" s="67"/>
      <c r="AF83" s="67"/>
      <c r="AG83" s="67"/>
      <c r="AH83" s="67"/>
    </row>
    <row r="84" ht="15.75" customHeight="1">
      <c r="A84" s="104"/>
      <c r="B84" s="105"/>
      <c r="C84" s="105"/>
      <c r="D84" s="105"/>
      <c r="E84" s="105"/>
      <c r="F84" s="105"/>
      <c r="G84" s="10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6"/>
      <c r="AD84" s="67"/>
      <c r="AE84" s="67"/>
      <c r="AF84" s="67"/>
      <c r="AG84" s="67"/>
      <c r="AH84" s="67"/>
    </row>
    <row r="85" ht="15.75" customHeight="1">
      <c r="A85" s="104"/>
      <c r="B85" s="105"/>
      <c r="C85" s="105"/>
      <c r="D85" s="105"/>
      <c r="E85" s="105"/>
      <c r="F85" s="105"/>
      <c r="G85" s="10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6"/>
      <c r="AD85" s="67"/>
      <c r="AE85" s="67"/>
      <c r="AF85" s="67"/>
      <c r="AG85" s="67"/>
      <c r="AH85" s="67"/>
    </row>
    <row r="86" ht="15.75" customHeight="1">
      <c r="A86" s="104"/>
      <c r="B86" s="105"/>
      <c r="C86" s="105"/>
      <c r="D86" s="105"/>
      <c r="E86" s="105"/>
      <c r="F86" s="105"/>
      <c r="G86" s="10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6"/>
      <c r="AD86" s="67"/>
      <c r="AE86" s="67"/>
      <c r="AF86" s="67"/>
      <c r="AG86" s="67"/>
      <c r="AH86" s="67"/>
    </row>
    <row r="87" ht="15.75" customHeight="1">
      <c r="A87" s="104"/>
      <c r="B87" s="105"/>
      <c r="C87" s="105"/>
      <c r="D87" s="105"/>
      <c r="E87" s="105"/>
      <c r="F87" s="105"/>
      <c r="G87" s="10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6"/>
      <c r="AD87" s="67"/>
      <c r="AE87" s="67"/>
      <c r="AF87" s="67"/>
      <c r="AG87" s="67"/>
      <c r="AH87" s="67"/>
    </row>
    <row r="88" ht="15.75" customHeight="1">
      <c r="A88" s="104"/>
      <c r="B88" s="105"/>
      <c r="C88" s="105"/>
      <c r="D88" s="105"/>
      <c r="E88" s="105"/>
      <c r="F88" s="105"/>
      <c r="G88" s="10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6"/>
      <c r="AD88" s="67"/>
      <c r="AE88" s="67"/>
      <c r="AF88" s="67"/>
      <c r="AG88" s="67"/>
      <c r="AH88" s="67"/>
    </row>
    <row r="89" ht="15.75" customHeight="1">
      <c r="A89" s="104"/>
      <c r="B89" s="105"/>
      <c r="C89" s="105"/>
      <c r="D89" s="105"/>
      <c r="E89" s="105"/>
      <c r="F89" s="105"/>
      <c r="G89" s="10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6"/>
      <c r="AD89" s="67"/>
      <c r="AE89" s="67"/>
      <c r="AF89" s="67"/>
      <c r="AG89" s="67"/>
      <c r="AH89" s="67"/>
    </row>
    <row r="90" ht="15.75" customHeight="1">
      <c r="A90" s="104"/>
      <c r="B90" s="105"/>
      <c r="C90" s="105"/>
      <c r="D90" s="105"/>
      <c r="E90" s="105"/>
      <c r="F90" s="105"/>
      <c r="G90" s="10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6"/>
      <c r="AD90" s="67"/>
      <c r="AE90" s="67"/>
      <c r="AF90" s="67"/>
      <c r="AG90" s="67"/>
      <c r="AH90" s="67"/>
    </row>
    <row r="91" ht="15.75" customHeight="1">
      <c r="A91" s="104"/>
      <c r="B91" s="105"/>
      <c r="C91" s="105"/>
      <c r="D91" s="105"/>
      <c r="E91" s="105"/>
      <c r="F91" s="105"/>
      <c r="G91" s="10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6"/>
      <c r="AD91" s="67"/>
      <c r="AE91" s="67"/>
      <c r="AF91" s="67"/>
      <c r="AG91" s="67"/>
      <c r="AH91" s="67"/>
    </row>
    <row r="92" ht="15.75" customHeight="1">
      <c r="A92" s="104"/>
      <c r="B92" s="105"/>
      <c r="C92" s="105"/>
      <c r="D92" s="105"/>
      <c r="E92" s="105"/>
      <c r="F92" s="105"/>
      <c r="G92" s="10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6"/>
      <c r="AD92" s="67"/>
      <c r="AE92" s="67"/>
      <c r="AF92" s="67"/>
      <c r="AG92" s="67"/>
      <c r="AH92" s="67"/>
    </row>
    <row r="93" ht="15.75" customHeight="1">
      <c r="A93" s="104"/>
      <c r="B93" s="105"/>
      <c r="C93" s="105"/>
      <c r="D93" s="105"/>
      <c r="E93" s="105"/>
      <c r="F93" s="105"/>
      <c r="G93" s="10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6"/>
      <c r="AD93" s="67"/>
      <c r="AE93" s="67"/>
      <c r="AF93" s="67"/>
      <c r="AG93" s="67"/>
      <c r="AH93" s="67"/>
    </row>
    <row r="94" ht="15.75" customHeight="1">
      <c r="A94" s="104"/>
      <c r="B94" s="105"/>
      <c r="C94" s="105"/>
      <c r="D94" s="105"/>
      <c r="E94" s="105"/>
      <c r="F94" s="105"/>
      <c r="G94" s="10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6"/>
      <c r="AD94" s="67"/>
      <c r="AE94" s="67"/>
      <c r="AF94" s="67"/>
      <c r="AG94" s="67"/>
      <c r="AH94" s="67"/>
    </row>
    <row r="95" ht="15.75" customHeight="1">
      <c r="A95" s="104"/>
      <c r="B95" s="105"/>
      <c r="C95" s="105"/>
      <c r="D95" s="105"/>
      <c r="E95" s="105"/>
      <c r="F95" s="105"/>
      <c r="G95" s="10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6"/>
      <c r="AD95" s="67"/>
      <c r="AE95" s="67"/>
      <c r="AF95" s="67"/>
      <c r="AG95" s="67"/>
      <c r="AH95" s="67"/>
    </row>
    <row r="96" ht="15.75" customHeight="1">
      <c r="A96" s="104"/>
      <c r="B96" s="105"/>
      <c r="C96" s="105"/>
      <c r="D96" s="105"/>
      <c r="E96" s="105"/>
      <c r="F96" s="105"/>
      <c r="G96" s="10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6"/>
      <c r="AD96" s="67"/>
      <c r="AE96" s="67"/>
      <c r="AF96" s="67"/>
      <c r="AG96" s="67"/>
      <c r="AH96" s="67"/>
    </row>
    <row r="97" ht="15.75" customHeight="1">
      <c r="A97" s="104"/>
      <c r="B97" s="105"/>
      <c r="C97" s="105"/>
      <c r="D97" s="105"/>
      <c r="E97" s="105"/>
      <c r="F97" s="105"/>
      <c r="G97" s="10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6"/>
      <c r="AD97" s="67"/>
      <c r="AE97" s="67"/>
      <c r="AF97" s="67"/>
      <c r="AG97" s="67"/>
      <c r="AH97" s="67"/>
    </row>
    <row r="98" ht="15.75" customHeight="1">
      <c r="A98" s="104"/>
      <c r="B98" s="105"/>
      <c r="C98" s="105"/>
      <c r="D98" s="105"/>
      <c r="E98" s="105"/>
      <c r="F98" s="105"/>
      <c r="G98" s="10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6"/>
      <c r="AD98" s="67"/>
      <c r="AE98" s="67"/>
      <c r="AF98" s="67"/>
      <c r="AG98" s="67"/>
      <c r="AH98" s="67"/>
    </row>
    <row r="99" ht="15.75" customHeight="1">
      <c r="A99" s="104"/>
      <c r="B99" s="105"/>
      <c r="C99" s="105"/>
      <c r="D99" s="105"/>
      <c r="E99" s="105"/>
      <c r="F99" s="105"/>
      <c r="G99" s="10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6"/>
      <c r="AD99" s="67"/>
      <c r="AE99" s="67"/>
      <c r="AF99" s="67"/>
      <c r="AG99" s="67"/>
      <c r="AH99" s="67"/>
    </row>
    <row r="100" ht="15.75" customHeight="1">
      <c r="A100" s="104"/>
      <c r="B100" s="105"/>
      <c r="C100" s="105"/>
      <c r="D100" s="105"/>
      <c r="E100" s="105"/>
      <c r="F100" s="105"/>
      <c r="G100" s="10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6"/>
      <c r="AD100" s="67"/>
      <c r="AE100" s="67"/>
      <c r="AF100" s="67"/>
      <c r="AG100" s="67"/>
      <c r="AH100" s="67"/>
    </row>
    <row r="101" ht="15.75" customHeight="1">
      <c r="A101" s="104"/>
      <c r="B101" s="105"/>
      <c r="C101" s="105"/>
      <c r="D101" s="105"/>
      <c r="E101" s="105"/>
      <c r="F101" s="105"/>
      <c r="G101" s="10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6"/>
      <c r="AD101" s="67"/>
      <c r="AE101" s="67"/>
      <c r="AF101" s="67"/>
      <c r="AG101" s="67"/>
      <c r="AH101" s="67"/>
    </row>
    <row r="102" ht="15.75" customHeight="1">
      <c r="A102" s="104"/>
      <c r="B102" s="105"/>
      <c r="C102" s="105"/>
      <c r="D102" s="105"/>
      <c r="E102" s="105"/>
      <c r="F102" s="105"/>
      <c r="G102" s="10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6"/>
      <c r="AD102" s="67"/>
      <c r="AE102" s="67"/>
      <c r="AF102" s="67"/>
      <c r="AG102" s="67"/>
      <c r="AH102" s="67"/>
    </row>
    <row r="103" ht="15.75" customHeight="1">
      <c r="A103" s="104"/>
      <c r="B103" s="105"/>
      <c r="C103" s="105"/>
      <c r="D103" s="105"/>
      <c r="E103" s="105"/>
      <c r="F103" s="105"/>
      <c r="G103" s="10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6"/>
      <c r="AD103" s="67"/>
      <c r="AE103" s="67"/>
      <c r="AF103" s="67"/>
      <c r="AG103" s="67"/>
      <c r="AH103" s="67"/>
    </row>
    <row r="104" ht="15.75" customHeight="1">
      <c r="A104" s="104"/>
      <c r="B104" s="105"/>
      <c r="C104" s="105"/>
      <c r="D104" s="105"/>
      <c r="E104" s="105"/>
      <c r="F104" s="105"/>
      <c r="G104" s="10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6"/>
      <c r="AD104" s="67"/>
      <c r="AE104" s="67"/>
      <c r="AF104" s="67"/>
      <c r="AG104" s="67"/>
      <c r="AH104" s="67"/>
    </row>
    <row r="105" ht="15.75" customHeight="1">
      <c r="A105" s="104"/>
      <c r="B105" s="105"/>
      <c r="C105" s="105"/>
      <c r="D105" s="105"/>
      <c r="E105" s="105"/>
      <c r="F105" s="105"/>
      <c r="G105" s="10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6"/>
      <c r="AD105" s="67"/>
      <c r="AE105" s="67"/>
      <c r="AF105" s="67"/>
      <c r="AG105" s="67"/>
      <c r="AH105" s="67"/>
    </row>
    <row r="106" ht="15.75" customHeight="1">
      <c r="A106" s="104"/>
      <c r="B106" s="105"/>
      <c r="C106" s="105"/>
      <c r="D106" s="105"/>
      <c r="E106" s="105"/>
      <c r="F106" s="105"/>
      <c r="G106" s="10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6"/>
      <c r="AD106" s="67"/>
      <c r="AE106" s="67"/>
      <c r="AF106" s="67"/>
      <c r="AG106" s="67"/>
      <c r="AH106" s="67"/>
    </row>
    <row r="107" ht="15.75" customHeight="1">
      <c r="A107" s="104"/>
      <c r="B107" s="105"/>
      <c r="C107" s="105"/>
      <c r="D107" s="105"/>
      <c r="E107" s="105"/>
      <c r="F107" s="105"/>
      <c r="G107" s="10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6"/>
      <c r="AD107" s="67"/>
      <c r="AE107" s="67"/>
      <c r="AF107" s="67"/>
      <c r="AG107" s="67"/>
      <c r="AH107" s="67"/>
    </row>
    <row r="108" ht="15.75" customHeight="1">
      <c r="A108" s="104"/>
      <c r="B108" s="105"/>
      <c r="C108" s="105"/>
      <c r="D108" s="105"/>
      <c r="E108" s="105"/>
      <c r="F108" s="105"/>
      <c r="G108" s="10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6"/>
      <c r="AD108" s="67"/>
      <c r="AE108" s="67"/>
      <c r="AF108" s="67"/>
      <c r="AG108" s="67"/>
      <c r="AH108" s="67"/>
    </row>
    <row r="109" ht="15.75" customHeight="1">
      <c r="A109" s="104"/>
      <c r="B109" s="105"/>
      <c r="C109" s="105"/>
      <c r="D109" s="105"/>
      <c r="E109" s="105"/>
      <c r="F109" s="105"/>
      <c r="G109" s="10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6"/>
      <c r="AD109" s="67"/>
      <c r="AE109" s="67"/>
      <c r="AF109" s="67"/>
      <c r="AG109" s="67"/>
      <c r="AH109" s="67"/>
    </row>
    <row r="110" ht="15.75" customHeight="1">
      <c r="A110" s="104"/>
      <c r="B110" s="105"/>
      <c r="C110" s="105"/>
      <c r="D110" s="105"/>
      <c r="E110" s="105"/>
      <c r="F110" s="105"/>
      <c r="G110" s="10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6"/>
      <c r="AD110" s="67"/>
      <c r="AE110" s="67"/>
      <c r="AF110" s="67"/>
      <c r="AG110" s="67"/>
      <c r="AH110" s="67"/>
    </row>
    <row r="111" ht="15.75" customHeight="1">
      <c r="A111" s="104"/>
      <c r="B111" s="105"/>
      <c r="C111" s="105"/>
      <c r="D111" s="105"/>
      <c r="E111" s="105"/>
      <c r="F111" s="105"/>
      <c r="G111" s="10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6"/>
      <c r="AD111" s="67"/>
      <c r="AE111" s="67"/>
      <c r="AF111" s="67"/>
      <c r="AG111" s="67"/>
      <c r="AH111" s="67"/>
    </row>
    <row r="112" ht="15.75" customHeight="1">
      <c r="A112" s="104"/>
      <c r="B112" s="105"/>
      <c r="C112" s="105"/>
      <c r="D112" s="105"/>
      <c r="E112" s="105"/>
      <c r="F112" s="105"/>
      <c r="G112" s="10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6"/>
      <c r="AD112" s="67"/>
      <c r="AE112" s="67"/>
      <c r="AF112" s="67"/>
      <c r="AG112" s="67"/>
      <c r="AH112" s="67"/>
    </row>
    <row r="113" ht="15.75" customHeight="1">
      <c r="A113" s="104"/>
      <c r="B113" s="105"/>
      <c r="C113" s="105"/>
      <c r="D113" s="105"/>
      <c r="E113" s="105"/>
      <c r="F113" s="105"/>
      <c r="G113" s="10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6"/>
      <c r="AD113" s="67"/>
      <c r="AE113" s="67"/>
      <c r="AF113" s="67"/>
      <c r="AG113" s="67"/>
      <c r="AH113" s="67"/>
    </row>
    <row r="114" ht="15.75" customHeight="1">
      <c r="A114" s="104"/>
      <c r="B114" s="105"/>
      <c r="C114" s="105"/>
      <c r="D114" s="105"/>
      <c r="E114" s="105"/>
      <c r="F114" s="105"/>
      <c r="G114" s="10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6"/>
      <c r="AD114" s="67"/>
      <c r="AE114" s="67"/>
      <c r="AF114" s="67"/>
      <c r="AG114" s="67"/>
      <c r="AH114" s="67"/>
    </row>
    <row r="115" ht="15.75" customHeight="1">
      <c r="A115" s="104"/>
      <c r="B115" s="105"/>
      <c r="C115" s="105"/>
      <c r="D115" s="105"/>
      <c r="E115" s="105"/>
      <c r="F115" s="105"/>
      <c r="G115" s="10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6"/>
      <c r="AD115" s="67"/>
      <c r="AE115" s="67"/>
      <c r="AF115" s="67"/>
      <c r="AG115" s="67"/>
      <c r="AH115" s="67"/>
    </row>
    <row r="116" ht="15.75" customHeight="1">
      <c r="A116" s="104"/>
      <c r="B116" s="105"/>
      <c r="C116" s="105"/>
      <c r="D116" s="105"/>
      <c r="E116" s="105"/>
      <c r="F116" s="105"/>
      <c r="G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6"/>
      <c r="AD116" s="67"/>
      <c r="AE116" s="67"/>
      <c r="AF116" s="67"/>
      <c r="AG116" s="67"/>
      <c r="AH116" s="67"/>
    </row>
    <row r="117" ht="15.75" customHeight="1">
      <c r="A117" s="104"/>
      <c r="B117" s="105"/>
      <c r="C117" s="105"/>
      <c r="D117" s="105"/>
      <c r="E117" s="105"/>
      <c r="F117" s="105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6"/>
      <c r="AD117" s="67"/>
      <c r="AE117" s="67"/>
      <c r="AF117" s="67"/>
      <c r="AG117" s="67"/>
      <c r="AH117" s="67"/>
    </row>
    <row r="118" ht="15.75" customHeight="1">
      <c r="A118" s="104"/>
      <c r="B118" s="105"/>
      <c r="C118" s="105"/>
      <c r="D118" s="105"/>
      <c r="E118" s="105"/>
      <c r="F118" s="105"/>
      <c r="G118" s="10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6"/>
      <c r="AD118" s="67"/>
      <c r="AE118" s="67"/>
      <c r="AF118" s="67"/>
      <c r="AG118" s="67"/>
      <c r="AH118" s="67"/>
    </row>
    <row r="119" ht="15.75" customHeight="1">
      <c r="A119" s="104"/>
      <c r="B119" s="105"/>
      <c r="C119" s="105"/>
      <c r="D119" s="105"/>
      <c r="E119" s="105"/>
      <c r="F119" s="105"/>
      <c r="G119" s="10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6"/>
      <c r="AD119" s="67"/>
      <c r="AE119" s="67"/>
      <c r="AF119" s="67"/>
      <c r="AG119" s="67"/>
      <c r="AH119" s="67"/>
    </row>
    <row r="120" ht="15.75" customHeight="1">
      <c r="A120" s="104"/>
      <c r="B120" s="105"/>
      <c r="C120" s="105"/>
      <c r="D120" s="105"/>
      <c r="E120" s="105"/>
      <c r="F120" s="105"/>
      <c r="G120" s="10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6"/>
      <c r="AD120" s="67"/>
      <c r="AE120" s="67"/>
      <c r="AF120" s="67"/>
      <c r="AG120" s="67"/>
      <c r="AH120" s="67"/>
    </row>
    <row r="121" ht="15.75" customHeight="1">
      <c r="A121" s="104"/>
      <c r="B121" s="105"/>
      <c r="C121" s="105"/>
      <c r="D121" s="105"/>
      <c r="E121" s="105"/>
      <c r="F121" s="105"/>
      <c r="G121" s="10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6"/>
      <c r="AD121" s="67"/>
      <c r="AE121" s="67"/>
      <c r="AF121" s="67"/>
      <c r="AG121" s="67"/>
      <c r="AH121" s="67"/>
    </row>
    <row r="122" ht="15.75" customHeight="1">
      <c r="A122" s="104"/>
      <c r="B122" s="105"/>
      <c r="C122" s="105"/>
      <c r="D122" s="105"/>
      <c r="E122" s="105"/>
      <c r="F122" s="105"/>
      <c r="G122" s="10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6"/>
      <c r="AD122" s="67"/>
      <c r="AE122" s="67"/>
      <c r="AF122" s="67"/>
      <c r="AG122" s="67"/>
      <c r="AH122" s="67"/>
    </row>
    <row r="123" ht="15.75" customHeight="1">
      <c r="A123" s="104"/>
      <c r="B123" s="105"/>
      <c r="C123" s="105"/>
      <c r="D123" s="105"/>
      <c r="E123" s="105"/>
      <c r="F123" s="105"/>
      <c r="G123" s="10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6"/>
      <c r="AD123" s="67"/>
      <c r="AE123" s="67"/>
      <c r="AF123" s="67"/>
      <c r="AG123" s="67"/>
      <c r="AH123" s="67"/>
    </row>
    <row r="124" ht="15.75" customHeight="1">
      <c r="A124" s="104"/>
      <c r="B124" s="105"/>
      <c r="C124" s="105"/>
      <c r="D124" s="105"/>
      <c r="E124" s="105"/>
      <c r="F124" s="105"/>
      <c r="G124" s="10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6"/>
      <c r="AD124" s="67"/>
      <c r="AE124" s="67"/>
      <c r="AF124" s="67"/>
      <c r="AG124" s="67"/>
      <c r="AH124" s="67"/>
    </row>
    <row r="125" ht="15.75" customHeight="1">
      <c r="A125" s="104"/>
      <c r="B125" s="105"/>
      <c r="C125" s="105"/>
      <c r="D125" s="105"/>
      <c r="E125" s="105"/>
      <c r="F125" s="105"/>
      <c r="G125" s="10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6"/>
      <c r="AD125" s="67"/>
      <c r="AE125" s="67"/>
      <c r="AF125" s="67"/>
      <c r="AG125" s="67"/>
      <c r="AH125" s="67"/>
    </row>
    <row r="126" ht="15.75" customHeight="1">
      <c r="A126" s="104"/>
      <c r="B126" s="105"/>
      <c r="C126" s="105"/>
      <c r="D126" s="105"/>
      <c r="E126" s="105"/>
      <c r="F126" s="105"/>
      <c r="G126" s="10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6"/>
      <c r="AD126" s="67"/>
      <c r="AE126" s="67"/>
      <c r="AF126" s="67"/>
      <c r="AG126" s="67"/>
      <c r="AH126" s="67"/>
    </row>
    <row r="127" ht="15.75" customHeight="1">
      <c r="A127" s="104"/>
      <c r="B127" s="105"/>
      <c r="C127" s="105"/>
      <c r="D127" s="105"/>
      <c r="E127" s="105"/>
      <c r="F127" s="105"/>
      <c r="G127" s="10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6"/>
      <c r="AD127" s="67"/>
      <c r="AE127" s="67"/>
      <c r="AF127" s="67"/>
      <c r="AG127" s="67"/>
      <c r="AH127" s="67"/>
    </row>
    <row r="128" ht="15.75" customHeight="1">
      <c r="A128" s="104"/>
      <c r="B128" s="105"/>
      <c r="C128" s="105"/>
      <c r="D128" s="105"/>
      <c r="E128" s="105"/>
      <c r="F128" s="105"/>
      <c r="G128" s="10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6"/>
      <c r="AD128" s="67"/>
      <c r="AE128" s="67"/>
      <c r="AF128" s="67"/>
      <c r="AG128" s="67"/>
      <c r="AH128" s="67"/>
    </row>
    <row r="129" ht="15.75" customHeight="1">
      <c r="A129" s="104"/>
      <c r="B129" s="105"/>
      <c r="C129" s="105"/>
      <c r="D129" s="105"/>
      <c r="E129" s="105"/>
      <c r="F129" s="105"/>
      <c r="G129" s="10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6"/>
      <c r="AD129" s="67"/>
      <c r="AE129" s="67"/>
      <c r="AF129" s="67"/>
      <c r="AG129" s="67"/>
      <c r="AH129" s="67"/>
    </row>
    <row r="130" ht="15.75" customHeight="1">
      <c r="A130" s="104"/>
      <c r="B130" s="105"/>
      <c r="C130" s="105"/>
      <c r="D130" s="105"/>
      <c r="E130" s="105"/>
      <c r="F130" s="105"/>
      <c r="G130" s="10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6"/>
      <c r="AD130" s="67"/>
      <c r="AE130" s="67"/>
      <c r="AF130" s="67"/>
      <c r="AG130" s="67"/>
      <c r="AH130" s="67"/>
    </row>
    <row r="131" ht="15.75" customHeight="1">
      <c r="A131" s="104"/>
      <c r="B131" s="105"/>
      <c r="C131" s="105"/>
      <c r="D131" s="105"/>
      <c r="E131" s="105"/>
      <c r="F131" s="105"/>
      <c r="G131" s="10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6"/>
      <c r="AD131" s="67"/>
      <c r="AE131" s="67"/>
      <c r="AF131" s="67"/>
      <c r="AG131" s="67"/>
      <c r="AH131" s="67"/>
    </row>
    <row r="132" ht="15.75" customHeight="1">
      <c r="A132" s="104"/>
      <c r="B132" s="105"/>
      <c r="C132" s="105"/>
      <c r="D132" s="105"/>
      <c r="E132" s="105"/>
      <c r="F132" s="105"/>
      <c r="G132" s="10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6"/>
      <c r="AD132" s="67"/>
      <c r="AE132" s="67"/>
      <c r="AF132" s="67"/>
      <c r="AG132" s="67"/>
      <c r="AH132" s="67"/>
    </row>
    <row r="133" ht="15.75" customHeight="1">
      <c r="A133" s="104"/>
      <c r="B133" s="105"/>
      <c r="C133" s="105"/>
      <c r="D133" s="105"/>
      <c r="E133" s="105"/>
      <c r="F133" s="105"/>
      <c r="G133" s="10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6"/>
      <c r="AD133" s="67"/>
      <c r="AE133" s="67"/>
      <c r="AF133" s="67"/>
      <c r="AG133" s="67"/>
      <c r="AH133" s="67"/>
    </row>
    <row r="134" ht="15.75" customHeight="1">
      <c r="A134" s="104"/>
      <c r="B134" s="105"/>
      <c r="C134" s="105"/>
      <c r="D134" s="105"/>
      <c r="E134" s="105"/>
      <c r="F134" s="105"/>
      <c r="G134" s="10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6"/>
      <c r="AD134" s="67"/>
      <c r="AE134" s="67"/>
      <c r="AF134" s="67"/>
      <c r="AG134" s="67"/>
      <c r="AH134" s="67"/>
    </row>
    <row r="135" ht="15.75" customHeight="1">
      <c r="A135" s="104"/>
      <c r="B135" s="105"/>
      <c r="C135" s="105"/>
      <c r="D135" s="105"/>
      <c r="E135" s="105"/>
      <c r="F135" s="105"/>
      <c r="G135" s="10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6"/>
      <c r="AD135" s="67"/>
      <c r="AE135" s="67"/>
      <c r="AF135" s="67"/>
      <c r="AG135" s="67"/>
      <c r="AH135" s="67"/>
    </row>
    <row r="136" ht="15.75" customHeight="1">
      <c r="A136" s="104"/>
      <c r="B136" s="105"/>
      <c r="C136" s="105"/>
      <c r="D136" s="105"/>
      <c r="E136" s="105"/>
      <c r="F136" s="105"/>
      <c r="G136" s="10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6"/>
      <c r="AD136" s="67"/>
      <c r="AE136" s="67"/>
      <c r="AF136" s="67"/>
      <c r="AG136" s="67"/>
      <c r="AH136" s="67"/>
    </row>
    <row r="137" ht="15.75" customHeight="1">
      <c r="A137" s="104"/>
      <c r="B137" s="105"/>
      <c r="C137" s="105"/>
      <c r="D137" s="105"/>
      <c r="E137" s="105"/>
      <c r="F137" s="105"/>
      <c r="G137" s="10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6"/>
      <c r="AD137" s="67"/>
      <c r="AE137" s="67"/>
      <c r="AF137" s="67"/>
      <c r="AG137" s="67"/>
      <c r="AH137" s="67"/>
    </row>
    <row r="138" ht="15.75" customHeight="1">
      <c r="A138" s="104"/>
      <c r="B138" s="105"/>
      <c r="C138" s="105"/>
      <c r="D138" s="105"/>
      <c r="E138" s="105"/>
      <c r="F138" s="105"/>
      <c r="G138" s="10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6"/>
      <c r="AD138" s="67"/>
      <c r="AE138" s="67"/>
      <c r="AF138" s="67"/>
      <c r="AG138" s="67"/>
      <c r="AH138" s="67"/>
    </row>
    <row r="139" ht="15.75" customHeight="1">
      <c r="A139" s="104"/>
      <c r="B139" s="105"/>
      <c r="C139" s="105"/>
      <c r="D139" s="105"/>
      <c r="E139" s="105"/>
      <c r="F139" s="105"/>
      <c r="G139" s="10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6"/>
      <c r="AD139" s="67"/>
      <c r="AE139" s="67"/>
      <c r="AF139" s="67"/>
      <c r="AG139" s="67"/>
      <c r="AH139" s="67"/>
    </row>
    <row r="140" ht="15.75" customHeight="1">
      <c r="A140" s="104"/>
      <c r="B140" s="105"/>
      <c r="C140" s="105"/>
      <c r="D140" s="105"/>
      <c r="E140" s="105"/>
      <c r="F140" s="105"/>
      <c r="G140" s="10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6"/>
      <c r="AD140" s="67"/>
      <c r="AE140" s="67"/>
      <c r="AF140" s="67"/>
      <c r="AG140" s="67"/>
      <c r="AH140" s="67"/>
    </row>
    <row r="141" ht="15.75" customHeight="1">
      <c r="A141" s="104"/>
      <c r="B141" s="105"/>
      <c r="C141" s="105"/>
      <c r="D141" s="105"/>
      <c r="E141" s="105"/>
      <c r="F141" s="105"/>
      <c r="G141" s="10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6"/>
      <c r="AD141" s="67"/>
      <c r="AE141" s="67"/>
      <c r="AF141" s="67"/>
      <c r="AG141" s="67"/>
      <c r="AH141" s="67"/>
    </row>
    <row r="142" ht="15.75" customHeight="1">
      <c r="A142" s="104"/>
      <c r="B142" s="105"/>
      <c r="C142" s="105"/>
      <c r="D142" s="105"/>
      <c r="E142" s="105"/>
      <c r="F142" s="105"/>
      <c r="G142" s="10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6"/>
      <c r="AD142" s="67"/>
      <c r="AE142" s="67"/>
      <c r="AF142" s="67"/>
      <c r="AG142" s="67"/>
      <c r="AH142" s="67"/>
    </row>
    <row r="143" ht="15.75" customHeight="1">
      <c r="A143" s="104"/>
      <c r="B143" s="105"/>
      <c r="C143" s="105"/>
      <c r="D143" s="105"/>
      <c r="E143" s="105"/>
      <c r="F143" s="105"/>
      <c r="G143" s="10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6"/>
      <c r="AD143" s="67"/>
      <c r="AE143" s="67"/>
      <c r="AF143" s="67"/>
      <c r="AG143" s="67"/>
      <c r="AH143" s="67"/>
    </row>
    <row r="144" ht="15.75" customHeight="1">
      <c r="A144" s="104"/>
      <c r="B144" s="105"/>
      <c r="C144" s="105"/>
      <c r="D144" s="105"/>
      <c r="E144" s="105"/>
      <c r="F144" s="105"/>
      <c r="G144" s="10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6"/>
      <c r="AD144" s="67"/>
      <c r="AE144" s="67"/>
      <c r="AF144" s="67"/>
      <c r="AG144" s="67"/>
      <c r="AH144" s="67"/>
    </row>
    <row r="145" ht="15.75" customHeight="1">
      <c r="A145" s="104"/>
      <c r="B145" s="105"/>
      <c r="C145" s="105"/>
      <c r="D145" s="105"/>
      <c r="E145" s="105"/>
      <c r="F145" s="105"/>
      <c r="G145" s="10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6"/>
      <c r="AD145" s="67"/>
      <c r="AE145" s="67"/>
      <c r="AF145" s="67"/>
      <c r="AG145" s="67"/>
      <c r="AH145" s="67"/>
    </row>
    <row r="146" ht="15.75" customHeight="1">
      <c r="A146" s="104"/>
      <c r="B146" s="105"/>
      <c r="C146" s="105"/>
      <c r="D146" s="105"/>
      <c r="E146" s="105"/>
      <c r="F146" s="105"/>
      <c r="G146" s="10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6"/>
      <c r="AD146" s="67"/>
      <c r="AE146" s="67"/>
      <c r="AF146" s="67"/>
      <c r="AG146" s="67"/>
      <c r="AH146" s="67"/>
    </row>
    <row r="147" ht="15.75" customHeight="1">
      <c r="A147" s="104"/>
      <c r="B147" s="105"/>
      <c r="C147" s="105"/>
      <c r="D147" s="105"/>
      <c r="E147" s="105"/>
      <c r="F147" s="105"/>
      <c r="G147" s="10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6"/>
      <c r="AD147" s="67"/>
      <c r="AE147" s="67"/>
      <c r="AF147" s="67"/>
      <c r="AG147" s="67"/>
      <c r="AH147" s="67"/>
    </row>
    <row r="148" ht="15.75" customHeight="1">
      <c r="A148" s="104"/>
      <c r="B148" s="105"/>
      <c r="C148" s="105"/>
      <c r="D148" s="105"/>
      <c r="E148" s="105"/>
      <c r="F148" s="105"/>
      <c r="G148" s="10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6"/>
      <c r="AD148" s="67"/>
      <c r="AE148" s="67"/>
      <c r="AF148" s="67"/>
      <c r="AG148" s="67"/>
      <c r="AH148" s="67"/>
    </row>
    <row r="149" ht="15.75" customHeight="1">
      <c r="A149" s="104"/>
      <c r="B149" s="105"/>
      <c r="C149" s="105"/>
      <c r="D149" s="105"/>
      <c r="E149" s="105"/>
      <c r="F149" s="105"/>
      <c r="G149" s="10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6"/>
      <c r="AD149" s="67"/>
      <c r="AE149" s="67"/>
      <c r="AF149" s="67"/>
      <c r="AG149" s="67"/>
      <c r="AH149" s="67"/>
    </row>
    <row r="150" ht="15.75" customHeight="1">
      <c r="A150" s="104"/>
      <c r="B150" s="105"/>
      <c r="C150" s="105"/>
      <c r="D150" s="105"/>
      <c r="E150" s="105"/>
      <c r="F150" s="105"/>
      <c r="G150" s="10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6"/>
      <c r="AD150" s="67"/>
      <c r="AE150" s="67"/>
      <c r="AF150" s="67"/>
      <c r="AG150" s="67"/>
      <c r="AH150" s="67"/>
    </row>
    <row r="151" ht="15.75" customHeight="1">
      <c r="A151" s="104"/>
      <c r="B151" s="105"/>
      <c r="C151" s="105"/>
      <c r="D151" s="105"/>
      <c r="E151" s="105"/>
      <c r="F151" s="105"/>
      <c r="G151" s="10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6"/>
      <c r="AD151" s="67"/>
      <c r="AE151" s="67"/>
      <c r="AF151" s="67"/>
      <c r="AG151" s="67"/>
      <c r="AH151" s="67"/>
    </row>
    <row r="152" ht="15.75" customHeight="1">
      <c r="A152" s="104"/>
      <c r="B152" s="105"/>
      <c r="C152" s="105"/>
      <c r="D152" s="105"/>
      <c r="E152" s="105"/>
      <c r="F152" s="105"/>
      <c r="G152" s="10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6"/>
      <c r="AD152" s="67"/>
      <c r="AE152" s="67"/>
      <c r="AF152" s="67"/>
      <c r="AG152" s="67"/>
      <c r="AH152" s="67"/>
    </row>
    <row r="153" ht="15.75" customHeight="1">
      <c r="A153" s="104"/>
      <c r="B153" s="105"/>
      <c r="C153" s="105"/>
      <c r="D153" s="105"/>
      <c r="E153" s="105"/>
      <c r="F153" s="105"/>
      <c r="G153" s="10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6"/>
      <c r="AD153" s="67"/>
      <c r="AE153" s="67"/>
      <c r="AF153" s="67"/>
      <c r="AG153" s="67"/>
      <c r="AH153" s="67"/>
    </row>
    <row r="154" ht="15.75" customHeight="1">
      <c r="A154" s="104"/>
      <c r="B154" s="105"/>
      <c r="C154" s="105"/>
      <c r="D154" s="105"/>
      <c r="E154" s="105"/>
      <c r="F154" s="105"/>
      <c r="G154" s="10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6"/>
      <c r="AD154" s="67"/>
      <c r="AE154" s="67"/>
      <c r="AF154" s="67"/>
      <c r="AG154" s="67"/>
      <c r="AH154" s="67"/>
    </row>
    <row r="155" ht="15.75" customHeight="1">
      <c r="A155" s="104"/>
      <c r="B155" s="105"/>
      <c r="C155" s="105"/>
      <c r="D155" s="105"/>
      <c r="E155" s="105"/>
      <c r="F155" s="105"/>
      <c r="G155" s="10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6"/>
      <c r="AD155" s="67"/>
      <c r="AE155" s="67"/>
      <c r="AF155" s="67"/>
      <c r="AG155" s="67"/>
      <c r="AH155" s="67"/>
    </row>
    <row r="156" ht="15.75" customHeight="1">
      <c r="A156" s="104"/>
      <c r="B156" s="105"/>
      <c r="C156" s="105"/>
      <c r="D156" s="105"/>
      <c r="E156" s="105"/>
      <c r="F156" s="105"/>
      <c r="G156" s="10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6"/>
      <c r="AD156" s="67"/>
      <c r="AE156" s="67"/>
      <c r="AF156" s="67"/>
      <c r="AG156" s="67"/>
      <c r="AH156" s="67"/>
    </row>
    <row r="157" ht="15.75" customHeight="1">
      <c r="A157" s="104"/>
      <c r="B157" s="105"/>
      <c r="C157" s="105"/>
      <c r="D157" s="105"/>
      <c r="E157" s="105"/>
      <c r="F157" s="105"/>
      <c r="G157" s="10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6"/>
      <c r="AD157" s="67"/>
      <c r="AE157" s="67"/>
      <c r="AF157" s="67"/>
      <c r="AG157" s="67"/>
      <c r="AH157" s="67"/>
    </row>
    <row r="158" ht="15.75" customHeight="1">
      <c r="A158" s="104"/>
      <c r="B158" s="105"/>
      <c r="C158" s="105"/>
      <c r="D158" s="105"/>
      <c r="E158" s="105"/>
      <c r="F158" s="105"/>
      <c r="G158" s="10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6"/>
      <c r="AD158" s="67"/>
      <c r="AE158" s="67"/>
      <c r="AF158" s="67"/>
      <c r="AG158" s="67"/>
      <c r="AH158" s="67"/>
    </row>
    <row r="159" ht="15.75" customHeight="1">
      <c r="A159" s="104"/>
      <c r="B159" s="105"/>
      <c r="C159" s="105"/>
      <c r="D159" s="105"/>
      <c r="E159" s="105"/>
      <c r="F159" s="105"/>
      <c r="G159" s="10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6"/>
      <c r="AD159" s="67"/>
      <c r="AE159" s="67"/>
      <c r="AF159" s="67"/>
      <c r="AG159" s="67"/>
      <c r="AH159" s="67"/>
    </row>
    <row r="160" ht="15.75" customHeight="1">
      <c r="A160" s="104"/>
      <c r="B160" s="105"/>
      <c r="C160" s="105"/>
      <c r="D160" s="105"/>
      <c r="E160" s="105"/>
      <c r="F160" s="105"/>
      <c r="G160" s="10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6"/>
      <c r="AD160" s="67"/>
      <c r="AE160" s="67"/>
      <c r="AF160" s="67"/>
      <c r="AG160" s="67"/>
      <c r="AH160" s="67"/>
    </row>
    <row r="161" ht="15.75" customHeight="1">
      <c r="A161" s="104"/>
      <c r="B161" s="105"/>
      <c r="C161" s="105"/>
      <c r="D161" s="105"/>
      <c r="E161" s="105"/>
      <c r="F161" s="105"/>
      <c r="G161" s="10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6"/>
      <c r="AD161" s="67"/>
      <c r="AE161" s="67"/>
      <c r="AF161" s="67"/>
      <c r="AG161" s="67"/>
      <c r="AH161" s="67"/>
    </row>
    <row r="162" ht="15.75" customHeight="1">
      <c r="A162" s="104"/>
      <c r="B162" s="105"/>
      <c r="C162" s="105"/>
      <c r="D162" s="105"/>
      <c r="E162" s="105"/>
      <c r="F162" s="105"/>
      <c r="G162" s="10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6"/>
      <c r="AD162" s="67"/>
      <c r="AE162" s="67"/>
      <c r="AF162" s="67"/>
      <c r="AG162" s="67"/>
      <c r="AH162" s="67"/>
    </row>
    <row r="163" ht="15.75" customHeight="1">
      <c r="A163" s="104"/>
      <c r="B163" s="105"/>
      <c r="C163" s="105"/>
      <c r="D163" s="105"/>
      <c r="E163" s="105"/>
      <c r="F163" s="105"/>
      <c r="G163" s="10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6"/>
      <c r="AD163" s="67"/>
      <c r="AE163" s="67"/>
      <c r="AF163" s="67"/>
      <c r="AG163" s="67"/>
      <c r="AH163" s="67"/>
    </row>
    <row r="164" ht="15.75" customHeight="1">
      <c r="A164" s="104"/>
      <c r="B164" s="105"/>
      <c r="C164" s="105"/>
      <c r="D164" s="105"/>
      <c r="E164" s="105"/>
      <c r="F164" s="105"/>
      <c r="G164" s="10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6"/>
      <c r="AD164" s="67"/>
      <c r="AE164" s="67"/>
      <c r="AF164" s="67"/>
      <c r="AG164" s="67"/>
      <c r="AH164" s="67"/>
    </row>
    <row r="165" ht="15.75" customHeight="1">
      <c r="A165" s="104"/>
      <c r="B165" s="105"/>
      <c r="C165" s="105"/>
      <c r="D165" s="105"/>
      <c r="E165" s="105"/>
      <c r="F165" s="105"/>
      <c r="G165" s="10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6"/>
      <c r="AD165" s="67"/>
      <c r="AE165" s="67"/>
      <c r="AF165" s="67"/>
      <c r="AG165" s="67"/>
      <c r="AH165" s="67"/>
    </row>
    <row r="166" ht="15.75" customHeight="1">
      <c r="A166" s="104"/>
      <c r="B166" s="105"/>
      <c r="C166" s="105"/>
      <c r="D166" s="105"/>
      <c r="E166" s="105"/>
      <c r="F166" s="105"/>
      <c r="G166" s="10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6"/>
      <c r="AD166" s="67"/>
      <c r="AE166" s="67"/>
      <c r="AF166" s="67"/>
      <c r="AG166" s="67"/>
      <c r="AH166" s="67"/>
    </row>
    <row r="167" ht="15.75" customHeight="1">
      <c r="A167" s="104"/>
      <c r="B167" s="105"/>
      <c r="C167" s="105"/>
      <c r="D167" s="105"/>
      <c r="E167" s="105"/>
      <c r="F167" s="105"/>
      <c r="G167" s="10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6"/>
      <c r="AD167" s="67"/>
      <c r="AE167" s="67"/>
      <c r="AF167" s="67"/>
      <c r="AG167" s="67"/>
      <c r="AH167" s="67"/>
    </row>
    <row r="168" ht="15.75" customHeight="1">
      <c r="A168" s="104"/>
      <c r="B168" s="105"/>
      <c r="C168" s="105"/>
      <c r="D168" s="105"/>
      <c r="E168" s="105"/>
      <c r="F168" s="105"/>
      <c r="G168" s="10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6"/>
      <c r="AD168" s="67"/>
      <c r="AE168" s="67"/>
      <c r="AF168" s="67"/>
      <c r="AG168" s="67"/>
      <c r="AH168" s="67"/>
    </row>
    <row r="169" ht="15.75" customHeight="1">
      <c r="A169" s="104"/>
      <c r="B169" s="105"/>
      <c r="C169" s="105"/>
      <c r="D169" s="105"/>
      <c r="E169" s="105"/>
      <c r="F169" s="105"/>
      <c r="G169" s="10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6"/>
      <c r="AD169" s="67"/>
      <c r="AE169" s="67"/>
      <c r="AF169" s="67"/>
      <c r="AG169" s="67"/>
      <c r="AH169" s="67"/>
    </row>
    <row r="170" ht="15.75" customHeight="1">
      <c r="A170" s="104"/>
      <c r="B170" s="105"/>
      <c r="C170" s="105"/>
      <c r="D170" s="105"/>
      <c r="E170" s="105"/>
      <c r="F170" s="105"/>
      <c r="G170" s="10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6"/>
      <c r="AD170" s="67"/>
      <c r="AE170" s="67"/>
      <c r="AF170" s="67"/>
      <c r="AG170" s="67"/>
      <c r="AH170" s="67"/>
    </row>
    <row r="171" ht="15.75" customHeight="1">
      <c r="A171" s="104"/>
      <c r="B171" s="105"/>
      <c r="C171" s="105"/>
      <c r="D171" s="105"/>
      <c r="E171" s="105"/>
      <c r="F171" s="105"/>
      <c r="G171" s="10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6"/>
      <c r="AD171" s="67"/>
      <c r="AE171" s="67"/>
      <c r="AF171" s="67"/>
      <c r="AG171" s="67"/>
      <c r="AH171" s="67"/>
    </row>
    <row r="172" ht="15.75" customHeight="1">
      <c r="A172" s="104"/>
      <c r="B172" s="105"/>
      <c r="C172" s="105"/>
      <c r="D172" s="105"/>
      <c r="E172" s="105"/>
      <c r="F172" s="105"/>
      <c r="G172" s="10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6"/>
      <c r="AD172" s="67"/>
      <c r="AE172" s="67"/>
      <c r="AF172" s="67"/>
      <c r="AG172" s="67"/>
      <c r="AH172" s="67"/>
    </row>
    <row r="173" ht="15.75" customHeight="1">
      <c r="A173" s="104"/>
      <c r="B173" s="105"/>
      <c r="C173" s="105"/>
      <c r="D173" s="105"/>
      <c r="E173" s="105"/>
      <c r="F173" s="105"/>
      <c r="G173" s="10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6"/>
      <c r="AD173" s="67"/>
      <c r="AE173" s="67"/>
      <c r="AF173" s="67"/>
      <c r="AG173" s="67"/>
      <c r="AH173" s="67"/>
    </row>
    <row r="174" ht="15.75" customHeight="1">
      <c r="A174" s="104"/>
      <c r="B174" s="105"/>
      <c r="C174" s="105"/>
      <c r="D174" s="105"/>
      <c r="E174" s="105"/>
      <c r="F174" s="105"/>
      <c r="G174" s="10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6"/>
      <c r="AD174" s="67"/>
      <c r="AE174" s="67"/>
      <c r="AF174" s="67"/>
      <c r="AG174" s="67"/>
      <c r="AH174" s="67"/>
    </row>
    <row r="175" ht="15.75" customHeight="1">
      <c r="A175" s="104"/>
      <c r="B175" s="105"/>
      <c r="C175" s="105"/>
      <c r="D175" s="105"/>
      <c r="E175" s="105"/>
      <c r="F175" s="105"/>
      <c r="G175" s="10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6"/>
      <c r="AD175" s="67"/>
      <c r="AE175" s="67"/>
      <c r="AF175" s="67"/>
      <c r="AG175" s="67"/>
      <c r="AH175" s="67"/>
    </row>
    <row r="176" ht="15.75" customHeight="1">
      <c r="A176" s="104"/>
      <c r="B176" s="105"/>
      <c r="C176" s="105"/>
      <c r="D176" s="105"/>
      <c r="E176" s="105"/>
      <c r="F176" s="105"/>
      <c r="G176" s="10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6"/>
      <c r="AD176" s="67"/>
      <c r="AE176" s="67"/>
      <c r="AF176" s="67"/>
      <c r="AG176" s="67"/>
      <c r="AH176" s="67"/>
    </row>
    <row r="177" ht="15.75" customHeight="1">
      <c r="A177" s="104"/>
      <c r="B177" s="105"/>
      <c r="C177" s="105"/>
      <c r="D177" s="105"/>
      <c r="E177" s="105"/>
      <c r="F177" s="105"/>
      <c r="G177" s="10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6"/>
      <c r="AD177" s="67"/>
      <c r="AE177" s="67"/>
      <c r="AF177" s="67"/>
      <c r="AG177" s="67"/>
      <c r="AH177" s="67"/>
    </row>
    <row r="178" ht="15.75" customHeight="1">
      <c r="A178" s="104"/>
      <c r="B178" s="105"/>
      <c r="C178" s="105"/>
      <c r="D178" s="105"/>
      <c r="E178" s="105"/>
      <c r="F178" s="105"/>
      <c r="G178" s="10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6"/>
      <c r="AD178" s="67"/>
      <c r="AE178" s="67"/>
      <c r="AF178" s="67"/>
      <c r="AG178" s="67"/>
      <c r="AH178" s="67"/>
    </row>
    <row r="179" ht="15.75" customHeight="1">
      <c r="A179" s="107"/>
      <c r="B179" s="67"/>
      <c r="C179" s="67"/>
      <c r="D179" s="67"/>
      <c r="E179" s="67"/>
      <c r="F179" s="67"/>
      <c r="G179" s="10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41"/>
      <c r="AD179" s="67"/>
      <c r="AE179" s="67"/>
      <c r="AF179" s="67"/>
      <c r="AG179" s="67"/>
      <c r="AH179" s="67"/>
    </row>
    <row r="180" ht="15.75" customHeight="1">
      <c r="A180" s="107"/>
      <c r="B180" s="67"/>
      <c r="C180" s="67"/>
      <c r="D180" s="67"/>
      <c r="E180" s="67"/>
      <c r="F180" s="67"/>
      <c r="G180" s="10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41"/>
      <c r="AD180" s="67"/>
      <c r="AE180" s="67"/>
      <c r="AF180" s="67"/>
      <c r="AG180" s="67"/>
      <c r="AH180" s="67"/>
    </row>
    <row r="181" ht="15.75" customHeight="1">
      <c r="A181" s="107"/>
      <c r="B181" s="67"/>
      <c r="C181" s="67"/>
      <c r="D181" s="67"/>
      <c r="E181" s="67"/>
      <c r="F181" s="67"/>
      <c r="G181" s="10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41"/>
      <c r="AD181" s="67"/>
      <c r="AE181" s="67"/>
      <c r="AF181" s="67"/>
      <c r="AG181" s="67"/>
      <c r="AH181" s="67"/>
    </row>
    <row r="182" ht="15.75" customHeight="1">
      <c r="A182" s="107"/>
      <c r="B182" s="67"/>
      <c r="C182" s="67"/>
      <c r="D182" s="67"/>
      <c r="E182" s="67"/>
      <c r="F182" s="67"/>
      <c r="G182" s="10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41"/>
      <c r="AD182" s="67"/>
      <c r="AE182" s="67"/>
      <c r="AF182" s="67"/>
      <c r="AG182" s="67"/>
      <c r="AH182" s="67"/>
    </row>
    <row r="183" ht="15.75" customHeight="1">
      <c r="A183" s="107"/>
      <c r="B183" s="67"/>
      <c r="C183" s="67"/>
      <c r="D183" s="67"/>
      <c r="E183" s="67"/>
      <c r="F183" s="67"/>
      <c r="G183" s="10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41"/>
      <c r="AD183" s="67"/>
      <c r="AE183" s="67"/>
      <c r="AF183" s="67"/>
      <c r="AG183" s="67"/>
      <c r="AH183" s="67"/>
    </row>
    <row r="184" ht="15.75" customHeight="1">
      <c r="A184" s="107"/>
      <c r="B184" s="67"/>
      <c r="C184" s="67"/>
      <c r="D184" s="67"/>
      <c r="E184" s="67"/>
      <c r="F184" s="67"/>
      <c r="G184" s="10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41"/>
      <c r="AD184" s="67"/>
      <c r="AE184" s="67"/>
      <c r="AF184" s="67"/>
      <c r="AG184" s="67"/>
      <c r="AH184" s="67"/>
    </row>
    <row r="185" ht="15.75" customHeight="1">
      <c r="A185" s="107"/>
      <c r="B185" s="67"/>
      <c r="C185" s="67"/>
      <c r="D185" s="67"/>
      <c r="E185" s="67"/>
      <c r="F185" s="67"/>
      <c r="G185" s="10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41"/>
      <c r="AD185" s="67"/>
      <c r="AE185" s="67"/>
      <c r="AF185" s="67"/>
      <c r="AG185" s="67"/>
      <c r="AH185" s="67"/>
    </row>
    <row r="186" ht="15.75" customHeight="1">
      <c r="A186" s="107"/>
      <c r="B186" s="67"/>
      <c r="C186" s="67"/>
      <c r="D186" s="67"/>
      <c r="E186" s="67"/>
      <c r="F186" s="67"/>
      <c r="G186" s="10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41"/>
      <c r="AD186" s="67"/>
      <c r="AE186" s="67"/>
      <c r="AF186" s="67"/>
      <c r="AG186" s="67"/>
      <c r="AH186" s="67"/>
    </row>
    <row r="187" ht="15.75" customHeight="1">
      <c r="A187" s="107"/>
      <c r="B187" s="67"/>
      <c r="C187" s="67"/>
      <c r="D187" s="67"/>
      <c r="E187" s="67"/>
      <c r="F187" s="67"/>
      <c r="G187" s="10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41"/>
      <c r="AD187" s="67"/>
      <c r="AE187" s="67"/>
      <c r="AF187" s="67"/>
      <c r="AG187" s="67"/>
      <c r="AH187" s="67"/>
    </row>
    <row r="188" ht="15.75" customHeight="1">
      <c r="A188" s="107"/>
      <c r="B188" s="67"/>
      <c r="C188" s="67"/>
      <c r="D188" s="67"/>
      <c r="E188" s="67"/>
      <c r="F188" s="67"/>
      <c r="G188" s="10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41"/>
      <c r="AD188" s="67"/>
      <c r="AE188" s="67"/>
      <c r="AF188" s="67"/>
      <c r="AG188" s="67"/>
      <c r="AH188" s="67"/>
    </row>
    <row r="189" ht="15.75" customHeight="1">
      <c r="A189" s="107"/>
      <c r="B189" s="67"/>
      <c r="C189" s="67"/>
      <c r="D189" s="67"/>
      <c r="E189" s="67"/>
      <c r="F189" s="67"/>
      <c r="G189" s="10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41"/>
      <c r="AD189" s="67"/>
      <c r="AE189" s="67"/>
      <c r="AF189" s="67"/>
      <c r="AG189" s="67"/>
      <c r="AH189" s="67"/>
    </row>
    <row r="190" ht="15.75" customHeight="1">
      <c r="A190" s="107"/>
      <c r="B190" s="67"/>
      <c r="C190" s="67"/>
      <c r="D190" s="67"/>
      <c r="E190" s="67"/>
      <c r="F190" s="67"/>
      <c r="G190" s="10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41"/>
      <c r="AD190" s="67"/>
      <c r="AE190" s="67"/>
      <c r="AF190" s="67"/>
      <c r="AG190" s="67"/>
      <c r="AH190" s="67"/>
    </row>
    <row r="191" ht="15.75" customHeight="1">
      <c r="A191" s="107"/>
      <c r="B191" s="67"/>
      <c r="C191" s="67"/>
      <c r="D191" s="67"/>
      <c r="E191" s="67"/>
      <c r="F191" s="67"/>
      <c r="G191" s="10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41"/>
      <c r="AD191" s="67"/>
      <c r="AE191" s="67"/>
      <c r="AF191" s="67"/>
      <c r="AG191" s="67"/>
      <c r="AH191" s="67"/>
    </row>
    <row r="192" ht="15.75" customHeight="1">
      <c r="A192" s="107"/>
      <c r="B192" s="67"/>
      <c r="C192" s="67"/>
      <c r="D192" s="67"/>
      <c r="E192" s="67"/>
      <c r="F192" s="67"/>
      <c r="G192" s="10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41"/>
      <c r="AD192" s="67"/>
      <c r="AE192" s="67"/>
      <c r="AF192" s="67"/>
      <c r="AG192" s="67"/>
      <c r="AH192" s="67"/>
    </row>
    <row r="193" ht="15.75" customHeight="1">
      <c r="A193" s="107"/>
      <c r="B193" s="67"/>
      <c r="C193" s="67"/>
      <c r="D193" s="67"/>
      <c r="E193" s="67"/>
      <c r="F193" s="67"/>
      <c r="G193" s="10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41"/>
      <c r="AD193" s="67"/>
      <c r="AE193" s="67"/>
      <c r="AF193" s="67"/>
      <c r="AG193" s="67"/>
      <c r="AH193" s="67"/>
    </row>
    <row r="194" ht="15.75" customHeight="1">
      <c r="A194" s="107"/>
      <c r="B194" s="67"/>
      <c r="C194" s="67"/>
      <c r="D194" s="67"/>
      <c r="E194" s="67"/>
      <c r="F194" s="67"/>
      <c r="G194" s="10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41"/>
      <c r="AD194" s="67"/>
      <c r="AE194" s="67"/>
      <c r="AF194" s="67"/>
      <c r="AG194" s="67"/>
      <c r="AH194" s="67"/>
    </row>
    <row r="195" ht="15.75" customHeight="1">
      <c r="A195" s="107"/>
      <c r="B195" s="67"/>
      <c r="C195" s="67"/>
      <c r="D195" s="67"/>
      <c r="E195" s="67"/>
      <c r="F195" s="67"/>
      <c r="G195" s="10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41"/>
      <c r="AD195" s="67"/>
      <c r="AE195" s="67"/>
      <c r="AF195" s="67"/>
      <c r="AG195" s="67"/>
      <c r="AH195" s="67"/>
    </row>
    <row r="196" ht="15.75" customHeight="1">
      <c r="A196" s="107"/>
      <c r="B196" s="67"/>
      <c r="C196" s="67"/>
      <c r="D196" s="67"/>
      <c r="E196" s="67"/>
      <c r="F196" s="67"/>
      <c r="G196" s="10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41"/>
      <c r="AD196" s="67"/>
      <c r="AE196" s="67"/>
      <c r="AF196" s="67"/>
      <c r="AG196" s="67"/>
      <c r="AH196" s="67"/>
    </row>
    <row r="197" ht="15.75" customHeight="1">
      <c r="A197" s="107"/>
      <c r="B197" s="67"/>
      <c r="C197" s="67"/>
      <c r="D197" s="67"/>
      <c r="E197" s="67"/>
      <c r="F197" s="67"/>
      <c r="G197" s="10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41"/>
      <c r="AD197" s="67"/>
      <c r="AE197" s="67"/>
      <c r="AF197" s="67"/>
      <c r="AG197" s="67"/>
      <c r="AH197" s="67"/>
    </row>
    <row r="198" ht="15.75" customHeight="1">
      <c r="A198" s="107"/>
      <c r="B198" s="67"/>
      <c r="C198" s="67"/>
      <c r="D198" s="67"/>
      <c r="E198" s="67"/>
      <c r="F198" s="67"/>
      <c r="G198" s="10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41"/>
      <c r="AD198" s="67"/>
      <c r="AE198" s="67"/>
      <c r="AF198" s="67"/>
      <c r="AG198" s="67"/>
      <c r="AH198" s="67"/>
    </row>
    <row r="199" ht="15.75" customHeight="1">
      <c r="A199" s="107"/>
      <c r="B199" s="67"/>
      <c r="C199" s="67"/>
      <c r="D199" s="67"/>
      <c r="E199" s="67"/>
      <c r="F199" s="67"/>
      <c r="G199" s="10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41"/>
      <c r="AD199" s="67"/>
      <c r="AE199" s="67"/>
      <c r="AF199" s="67"/>
      <c r="AG199" s="67"/>
      <c r="AH199" s="67"/>
    </row>
    <row r="200" ht="15.75" customHeight="1">
      <c r="A200" s="107"/>
      <c r="B200" s="67"/>
      <c r="C200" s="67"/>
      <c r="D200" s="67"/>
      <c r="E200" s="67"/>
      <c r="F200" s="67"/>
      <c r="G200" s="10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41"/>
      <c r="AD200" s="67"/>
      <c r="AE200" s="67"/>
      <c r="AF200" s="67"/>
      <c r="AG200" s="67"/>
      <c r="AH200" s="67"/>
    </row>
    <row r="201" ht="15.75" customHeight="1">
      <c r="A201" s="107"/>
      <c r="B201" s="67"/>
      <c r="C201" s="67"/>
      <c r="D201" s="67"/>
      <c r="E201" s="67"/>
      <c r="F201" s="67"/>
      <c r="G201" s="10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41"/>
      <c r="AD201" s="67"/>
      <c r="AE201" s="67"/>
      <c r="AF201" s="67"/>
      <c r="AG201" s="67"/>
      <c r="AH201" s="67"/>
    </row>
    <row r="202" ht="15.75" customHeight="1">
      <c r="A202" s="107"/>
      <c r="B202" s="67"/>
      <c r="C202" s="67"/>
      <c r="D202" s="67"/>
      <c r="E202" s="67"/>
      <c r="F202" s="67"/>
      <c r="G202" s="10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41"/>
      <c r="AD202" s="67"/>
      <c r="AE202" s="67"/>
      <c r="AF202" s="67"/>
      <c r="AG202" s="67"/>
      <c r="AH202" s="67"/>
    </row>
    <row r="203" ht="15.75" customHeight="1">
      <c r="A203" s="107"/>
      <c r="B203" s="67"/>
      <c r="C203" s="67"/>
      <c r="D203" s="67"/>
      <c r="E203" s="67"/>
      <c r="F203" s="67"/>
      <c r="G203" s="10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41"/>
      <c r="AD203" s="67"/>
      <c r="AE203" s="67"/>
      <c r="AF203" s="67"/>
      <c r="AG203" s="67"/>
      <c r="AH203" s="67"/>
    </row>
    <row r="204" ht="15.75" customHeight="1">
      <c r="A204" s="107"/>
      <c r="B204" s="67"/>
      <c r="C204" s="67"/>
      <c r="D204" s="67"/>
      <c r="E204" s="67"/>
      <c r="F204" s="67"/>
      <c r="G204" s="10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41"/>
      <c r="AD204" s="67"/>
      <c r="AE204" s="67"/>
      <c r="AF204" s="67"/>
      <c r="AG204" s="67"/>
      <c r="AH204" s="67"/>
    </row>
    <row r="205" ht="15.75" customHeight="1">
      <c r="A205" s="107"/>
      <c r="B205" s="67"/>
      <c r="C205" s="67"/>
      <c r="D205" s="67"/>
      <c r="E205" s="67"/>
      <c r="F205" s="67"/>
      <c r="G205" s="10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41"/>
      <c r="AD205" s="67"/>
      <c r="AE205" s="67"/>
      <c r="AF205" s="67"/>
      <c r="AG205" s="67"/>
      <c r="AH205" s="67"/>
    </row>
    <row r="206" ht="15.75" customHeight="1">
      <c r="A206" s="107"/>
      <c r="B206" s="67"/>
      <c r="C206" s="67"/>
      <c r="D206" s="67"/>
      <c r="E206" s="67"/>
      <c r="F206" s="67"/>
      <c r="G206" s="10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41"/>
      <c r="AD206" s="67"/>
      <c r="AE206" s="67"/>
      <c r="AF206" s="67"/>
      <c r="AG206" s="67"/>
      <c r="AH206" s="67"/>
    </row>
    <row r="207" ht="15.75" customHeight="1">
      <c r="A207" s="107"/>
      <c r="B207" s="67"/>
      <c r="C207" s="67"/>
      <c r="D207" s="67"/>
      <c r="E207" s="67"/>
      <c r="F207" s="67"/>
      <c r="G207" s="10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41"/>
      <c r="AD207" s="67"/>
      <c r="AE207" s="67"/>
      <c r="AF207" s="67"/>
      <c r="AG207" s="67"/>
      <c r="AH207" s="67"/>
    </row>
    <row r="208" ht="15.75" customHeight="1">
      <c r="A208" s="107"/>
      <c r="B208" s="67"/>
      <c r="C208" s="67"/>
      <c r="D208" s="67"/>
      <c r="E208" s="67"/>
      <c r="F208" s="67"/>
      <c r="G208" s="10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41"/>
      <c r="AD208" s="67"/>
      <c r="AE208" s="67"/>
      <c r="AF208" s="67"/>
      <c r="AG208" s="67"/>
      <c r="AH208" s="67"/>
    </row>
    <row r="209" ht="15.75" customHeight="1">
      <c r="A209" s="107"/>
      <c r="B209" s="67"/>
      <c r="C209" s="67"/>
      <c r="D209" s="67"/>
      <c r="E209" s="67"/>
      <c r="F209" s="67"/>
      <c r="G209" s="10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41"/>
      <c r="AD209" s="67"/>
      <c r="AE209" s="67"/>
      <c r="AF209" s="67"/>
      <c r="AG209" s="67"/>
      <c r="AH209" s="67"/>
    </row>
    <row r="210" ht="15.75" customHeight="1">
      <c r="A210" s="107"/>
      <c r="B210" s="67"/>
      <c r="C210" s="67"/>
      <c r="D210" s="67"/>
      <c r="E210" s="67"/>
      <c r="F210" s="67"/>
      <c r="G210" s="10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41"/>
      <c r="AD210" s="67"/>
      <c r="AE210" s="67"/>
      <c r="AF210" s="67"/>
      <c r="AG210" s="67"/>
      <c r="AH210" s="67"/>
    </row>
    <row r="211" ht="15.75" customHeight="1">
      <c r="A211" s="107"/>
      <c r="B211" s="67"/>
      <c r="C211" s="67"/>
      <c r="D211" s="67"/>
      <c r="E211" s="67"/>
      <c r="F211" s="67"/>
      <c r="G211" s="10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41"/>
      <c r="AD211" s="67"/>
      <c r="AE211" s="67"/>
      <c r="AF211" s="67"/>
      <c r="AG211" s="67"/>
      <c r="AH211" s="67"/>
    </row>
    <row r="212" ht="15.75" customHeight="1">
      <c r="A212" s="107"/>
      <c r="B212" s="67"/>
      <c r="C212" s="67"/>
      <c r="D212" s="67"/>
      <c r="E212" s="67"/>
      <c r="F212" s="67"/>
      <c r="G212" s="10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41"/>
      <c r="AD212" s="67"/>
      <c r="AE212" s="67"/>
      <c r="AF212" s="67"/>
      <c r="AG212" s="67"/>
      <c r="AH212" s="67"/>
    </row>
    <row r="213" ht="15.75" customHeight="1">
      <c r="A213" s="107"/>
      <c r="B213" s="67"/>
      <c r="C213" s="67"/>
      <c r="D213" s="67"/>
      <c r="E213" s="67"/>
      <c r="F213" s="67"/>
      <c r="G213" s="10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41"/>
      <c r="AD213" s="67"/>
      <c r="AE213" s="67"/>
      <c r="AF213" s="67"/>
      <c r="AG213" s="67"/>
      <c r="AH213" s="67"/>
    </row>
    <row r="214" ht="15.75" customHeight="1">
      <c r="A214" s="107"/>
      <c r="B214" s="67"/>
      <c r="C214" s="67"/>
      <c r="D214" s="67"/>
      <c r="E214" s="67"/>
      <c r="F214" s="67"/>
      <c r="G214" s="10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41"/>
      <c r="AD214" s="67"/>
      <c r="AE214" s="67"/>
      <c r="AF214" s="67"/>
      <c r="AG214" s="67"/>
      <c r="AH214" s="67"/>
    </row>
    <row r="215" ht="15.75" customHeight="1">
      <c r="A215" s="107"/>
      <c r="B215" s="67"/>
      <c r="C215" s="67"/>
      <c r="D215" s="67"/>
      <c r="E215" s="67"/>
      <c r="F215" s="67"/>
      <c r="G215" s="10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41"/>
      <c r="AD215" s="67"/>
      <c r="AE215" s="67"/>
      <c r="AF215" s="67"/>
      <c r="AG215" s="67"/>
      <c r="AH215" s="67"/>
    </row>
    <row r="216" ht="15.75" customHeight="1">
      <c r="A216" s="107"/>
      <c r="B216" s="67"/>
      <c r="C216" s="67"/>
      <c r="D216" s="67"/>
      <c r="E216" s="67"/>
      <c r="F216" s="67"/>
      <c r="G216" s="10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41"/>
      <c r="AD216" s="67"/>
      <c r="AE216" s="67"/>
      <c r="AF216" s="67"/>
      <c r="AG216" s="67"/>
      <c r="AH216" s="67"/>
    </row>
    <row r="217" ht="15.75" customHeight="1">
      <c r="A217" s="107"/>
      <c r="B217" s="67"/>
      <c r="C217" s="67"/>
      <c r="D217" s="67"/>
      <c r="E217" s="67"/>
      <c r="F217" s="67"/>
      <c r="G217" s="10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41"/>
      <c r="AD217" s="67"/>
      <c r="AE217" s="67"/>
      <c r="AF217" s="67"/>
      <c r="AG217" s="67"/>
      <c r="AH217" s="67"/>
    </row>
    <row r="218" ht="15.75" customHeight="1">
      <c r="A218" s="107"/>
      <c r="B218" s="67"/>
      <c r="C218" s="67"/>
      <c r="D218" s="67"/>
      <c r="E218" s="67"/>
      <c r="F218" s="67"/>
      <c r="G218" s="10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41"/>
      <c r="AD218" s="67"/>
      <c r="AE218" s="67"/>
      <c r="AF218" s="67"/>
      <c r="AG218" s="67"/>
      <c r="AH218" s="67"/>
    </row>
    <row r="219" ht="15.75" customHeight="1">
      <c r="A219" s="107"/>
      <c r="B219" s="67"/>
      <c r="C219" s="67"/>
      <c r="D219" s="67"/>
      <c r="E219" s="67"/>
      <c r="F219" s="67"/>
      <c r="G219" s="10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41"/>
      <c r="AD219" s="67"/>
      <c r="AE219" s="67"/>
      <c r="AF219" s="67"/>
      <c r="AG219" s="67"/>
      <c r="AH219" s="67"/>
    </row>
    <row r="220" ht="15.75" customHeight="1">
      <c r="A220" s="107"/>
      <c r="B220" s="67"/>
      <c r="C220" s="67"/>
      <c r="D220" s="67"/>
      <c r="E220" s="67"/>
      <c r="F220" s="67"/>
      <c r="G220" s="10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41"/>
      <c r="AD220" s="67"/>
      <c r="AE220" s="67"/>
      <c r="AF220" s="67"/>
      <c r="AG220" s="67"/>
      <c r="AH220" s="67"/>
    </row>
    <row r="221" ht="15.75" customHeight="1">
      <c r="A221" s="107"/>
      <c r="B221" s="67"/>
      <c r="C221" s="67"/>
      <c r="D221" s="67"/>
      <c r="E221" s="67"/>
      <c r="F221" s="67"/>
      <c r="G221" s="10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41"/>
      <c r="AD221" s="67"/>
      <c r="AE221" s="67"/>
      <c r="AF221" s="67"/>
      <c r="AG221" s="67"/>
      <c r="AH221" s="67"/>
    </row>
    <row r="222" ht="15.75" customHeight="1">
      <c r="A222" s="107"/>
      <c r="B222" s="67"/>
      <c r="C222" s="67"/>
      <c r="D222" s="67"/>
      <c r="E222" s="67"/>
      <c r="F222" s="67"/>
      <c r="G222" s="10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41"/>
      <c r="AD222" s="67"/>
      <c r="AE222" s="67"/>
      <c r="AF222" s="67"/>
      <c r="AG222" s="67"/>
      <c r="AH222" s="67"/>
    </row>
    <row r="223" ht="15.75" customHeight="1">
      <c r="A223" s="107"/>
      <c r="B223" s="67"/>
      <c r="C223" s="67"/>
      <c r="D223" s="67"/>
      <c r="E223" s="67"/>
      <c r="F223" s="67"/>
      <c r="G223" s="10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41"/>
      <c r="AD223" s="67"/>
      <c r="AE223" s="67"/>
      <c r="AF223" s="67"/>
      <c r="AG223" s="67"/>
      <c r="AH223" s="67"/>
    </row>
    <row r="224" ht="15.75" customHeight="1">
      <c r="A224" s="107"/>
      <c r="B224" s="67"/>
      <c r="C224" s="67"/>
      <c r="D224" s="67"/>
      <c r="E224" s="67"/>
      <c r="F224" s="67"/>
      <c r="G224" s="10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41"/>
      <c r="AD224" s="67"/>
      <c r="AE224" s="67"/>
      <c r="AF224" s="67"/>
      <c r="AG224" s="67"/>
      <c r="AH224" s="67"/>
    </row>
    <row r="225" ht="15.75" customHeight="1">
      <c r="A225" s="107"/>
      <c r="B225" s="67"/>
      <c r="C225" s="67"/>
      <c r="D225" s="67"/>
      <c r="E225" s="67"/>
      <c r="F225" s="67"/>
      <c r="G225" s="10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41"/>
      <c r="AD225" s="67"/>
      <c r="AE225" s="67"/>
      <c r="AF225" s="67"/>
      <c r="AG225" s="67"/>
      <c r="AH225" s="67"/>
    </row>
    <row r="226" ht="15.75" customHeight="1">
      <c r="A226" s="107"/>
      <c r="B226" s="67"/>
      <c r="C226" s="67"/>
      <c r="D226" s="67"/>
      <c r="E226" s="67"/>
      <c r="F226" s="67"/>
      <c r="G226" s="10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41"/>
      <c r="AD226" s="67"/>
      <c r="AE226" s="67"/>
      <c r="AF226" s="67"/>
      <c r="AG226" s="67"/>
      <c r="AH226" s="67"/>
    </row>
    <row r="227" ht="15.75" customHeight="1">
      <c r="A227" s="107"/>
      <c r="B227" s="67"/>
      <c r="C227" s="67"/>
      <c r="D227" s="67"/>
      <c r="E227" s="67"/>
      <c r="F227" s="67"/>
      <c r="G227" s="10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41"/>
      <c r="AD227" s="67"/>
      <c r="AE227" s="67"/>
      <c r="AF227" s="67"/>
      <c r="AG227" s="67"/>
      <c r="AH227" s="67"/>
    </row>
    <row r="228" ht="15.75" customHeight="1">
      <c r="A228" s="107"/>
      <c r="B228" s="67"/>
      <c r="C228" s="67"/>
      <c r="D228" s="67"/>
      <c r="E228" s="67"/>
      <c r="F228" s="67"/>
      <c r="G228" s="10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41"/>
      <c r="AD228" s="67"/>
      <c r="AE228" s="67"/>
      <c r="AF228" s="67"/>
      <c r="AG228" s="67"/>
      <c r="AH228" s="67"/>
    </row>
    <row r="229" ht="15.75" customHeight="1">
      <c r="A229" s="107"/>
      <c r="B229" s="67"/>
      <c r="C229" s="67"/>
      <c r="D229" s="67"/>
      <c r="E229" s="67"/>
      <c r="F229" s="67"/>
      <c r="G229" s="10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41"/>
      <c r="AD229" s="67"/>
      <c r="AE229" s="67"/>
      <c r="AF229" s="67"/>
      <c r="AG229" s="67"/>
      <c r="AH229" s="67"/>
    </row>
    <row r="230" ht="15.75" customHeight="1">
      <c r="A230" s="107"/>
      <c r="B230" s="67"/>
      <c r="C230" s="67"/>
      <c r="D230" s="67"/>
      <c r="E230" s="67"/>
      <c r="F230" s="67"/>
      <c r="G230" s="10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41"/>
      <c r="AD230" s="67"/>
      <c r="AE230" s="67"/>
      <c r="AF230" s="67"/>
      <c r="AG230" s="67"/>
      <c r="AH230" s="67"/>
    </row>
    <row r="231" ht="15.75" customHeight="1">
      <c r="A231" s="107"/>
      <c r="B231" s="67"/>
      <c r="C231" s="67"/>
      <c r="D231" s="67"/>
      <c r="E231" s="67"/>
      <c r="F231" s="67"/>
      <c r="G231" s="10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41"/>
      <c r="AD231" s="67"/>
      <c r="AE231" s="67"/>
      <c r="AF231" s="67"/>
      <c r="AG231" s="67"/>
      <c r="AH231" s="67"/>
    </row>
    <row r="232" ht="15.75" customHeight="1">
      <c r="A232" s="107"/>
      <c r="B232" s="67"/>
      <c r="C232" s="67"/>
      <c r="D232" s="67"/>
      <c r="E232" s="67"/>
      <c r="F232" s="67"/>
      <c r="G232" s="10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41"/>
      <c r="AD232" s="67"/>
      <c r="AE232" s="67"/>
      <c r="AF232" s="67"/>
      <c r="AG232" s="67"/>
      <c r="AH232" s="67"/>
    </row>
    <row r="233" ht="15.75" customHeight="1">
      <c r="A233" s="107"/>
      <c r="B233" s="67"/>
      <c r="C233" s="67"/>
      <c r="D233" s="67"/>
      <c r="E233" s="67"/>
      <c r="F233" s="67"/>
      <c r="G233" s="10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41"/>
      <c r="AD233" s="67"/>
      <c r="AE233" s="67"/>
      <c r="AF233" s="67"/>
      <c r="AG233" s="67"/>
      <c r="AH233" s="67"/>
    </row>
    <row r="234" ht="15.75" customHeight="1">
      <c r="A234" s="107"/>
      <c r="B234" s="67"/>
      <c r="C234" s="67"/>
      <c r="D234" s="67"/>
      <c r="E234" s="67"/>
      <c r="F234" s="67"/>
      <c r="G234" s="10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41"/>
      <c r="AD234" s="67"/>
      <c r="AE234" s="67"/>
      <c r="AF234" s="67"/>
      <c r="AG234" s="67"/>
      <c r="AH234" s="67"/>
    </row>
    <row r="235" ht="15.75" customHeight="1">
      <c r="A235" s="107"/>
      <c r="B235" s="67"/>
      <c r="C235" s="67"/>
      <c r="D235" s="67"/>
      <c r="E235" s="67"/>
      <c r="F235" s="67"/>
      <c r="G235" s="10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41"/>
      <c r="AD235" s="67"/>
      <c r="AE235" s="67"/>
      <c r="AF235" s="67"/>
      <c r="AG235" s="67"/>
      <c r="AH235" s="67"/>
    </row>
    <row r="236" ht="15.75" customHeight="1">
      <c r="A236" s="107"/>
      <c r="B236" s="67"/>
      <c r="C236" s="67"/>
      <c r="D236" s="67"/>
      <c r="E236" s="67"/>
      <c r="F236" s="67"/>
      <c r="G236" s="10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41"/>
      <c r="AD236" s="67"/>
      <c r="AE236" s="67"/>
      <c r="AF236" s="67"/>
      <c r="AG236" s="67"/>
      <c r="AH236" s="67"/>
    </row>
    <row r="237" ht="15.75" customHeight="1">
      <c r="A237" s="107"/>
      <c r="B237" s="67"/>
      <c r="C237" s="67"/>
      <c r="D237" s="67"/>
      <c r="E237" s="67"/>
      <c r="F237" s="67"/>
      <c r="G237" s="10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41"/>
      <c r="AD237" s="67"/>
      <c r="AE237" s="67"/>
      <c r="AF237" s="67"/>
      <c r="AG237" s="67"/>
      <c r="AH237" s="67"/>
    </row>
    <row r="238" ht="15.75" customHeight="1">
      <c r="A238" s="107"/>
      <c r="B238" s="67"/>
      <c r="C238" s="67"/>
      <c r="D238" s="67"/>
      <c r="E238" s="67"/>
      <c r="F238" s="67"/>
      <c r="G238" s="10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41"/>
      <c r="AD238" s="67"/>
      <c r="AE238" s="67"/>
      <c r="AF238" s="67"/>
      <c r="AG238" s="67"/>
      <c r="AH238" s="67"/>
    </row>
    <row r="239" ht="15.75" customHeight="1">
      <c r="A239" s="107"/>
      <c r="B239" s="67"/>
      <c r="C239" s="67"/>
      <c r="D239" s="67"/>
      <c r="E239" s="67"/>
      <c r="F239" s="67"/>
      <c r="G239" s="10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41"/>
      <c r="AD239" s="67"/>
      <c r="AE239" s="67"/>
      <c r="AF239" s="67"/>
      <c r="AG239" s="67"/>
      <c r="AH239" s="67"/>
    </row>
    <row r="240" ht="15.75" customHeight="1">
      <c r="A240" s="107"/>
      <c r="B240" s="67"/>
      <c r="C240" s="67"/>
      <c r="D240" s="67"/>
      <c r="E240" s="67"/>
      <c r="F240" s="67"/>
      <c r="G240" s="10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41"/>
      <c r="AD240" s="67"/>
      <c r="AE240" s="67"/>
      <c r="AF240" s="67"/>
      <c r="AG240" s="67"/>
      <c r="AH240" s="67"/>
    </row>
    <row r="241" ht="15.75" customHeight="1">
      <c r="A241" s="107"/>
      <c r="B241" s="67"/>
      <c r="C241" s="67"/>
      <c r="D241" s="67"/>
      <c r="E241" s="67"/>
      <c r="F241" s="67"/>
      <c r="G241" s="10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41"/>
      <c r="AD241" s="67"/>
      <c r="AE241" s="67"/>
      <c r="AF241" s="67"/>
      <c r="AG241" s="67"/>
      <c r="AH241" s="67"/>
    </row>
    <row r="242" ht="15.75" customHeight="1">
      <c r="A242" s="107"/>
      <c r="B242" s="67"/>
      <c r="C242" s="67"/>
      <c r="D242" s="67"/>
      <c r="E242" s="67"/>
      <c r="F242" s="67"/>
      <c r="G242" s="10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41"/>
      <c r="AD242" s="67"/>
      <c r="AE242" s="67"/>
      <c r="AF242" s="67"/>
      <c r="AG242" s="67"/>
      <c r="AH242" s="67"/>
    </row>
    <row r="243" ht="15.75" customHeight="1">
      <c r="A243" s="107"/>
      <c r="B243" s="67"/>
      <c r="C243" s="67"/>
      <c r="D243" s="67"/>
      <c r="E243" s="67"/>
      <c r="F243" s="67"/>
      <c r="G243" s="10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41"/>
      <c r="AD243" s="67"/>
      <c r="AE243" s="67"/>
      <c r="AF243" s="67"/>
      <c r="AG243" s="67"/>
      <c r="AH243" s="67"/>
    </row>
    <row r="244" ht="15.75" customHeight="1">
      <c r="A244" s="107"/>
      <c r="B244" s="67"/>
      <c r="C244" s="67"/>
      <c r="D244" s="67"/>
      <c r="E244" s="67"/>
      <c r="F244" s="67"/>
      <c r="G244" s="10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41"/>
      <c r="AD244" s="67"/>
      <c r="AE244" s="67"/>
      <c r="AF244" s="67"/>
      <c r="AG244" s="67"/>
      <c r="AH244" s="67"/>
    </row>
    <row r="245" ht="15.75" customHeight="1">
      <c r="A245" s="107"/>
      <c r="B245" s="67"/>
      <c r="C245" s="67"/>
      <c r="D245" s="67"/>
      <c r="E245" s="67"/>
      <c r="F245" s="67"/>
      <c r="G245" s="10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41"/>
      <c r="AD245" s="67"/>
      <c r="AE245" s="67"/>
      <c r="AF245" s="67"/>
      <c r="AG245" s="67"/>
      <c r="AH245" s="67"/>
    </row>
    <row r="246" ht="15.75" customHeight="1">
      <c r="A246" s="107"/>
      <c r="B246" s="67"/>
      <c r="C246" s="67"/>
      <c r="D246" s="67"/>
      <c r="E246" s="67"/>
      <c r="F246" s="67"/>
      <c r="G246" s="10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41"/>
      <c r="AD246" s="67"/>
      <c r="AE246" s="67"/>
      <c r="AF246" s="67"/>
      <c r="AG246" s="67"/>
      <c r="AH246" s="67"/>
    </row>
    <row r="247" ht="15.75" customHeight="1">
      <c r="A247" s="107"/>
      <c r="B247" s="67"/>
      <c r="C247" s="67"/>
      <c r="D247" s="67"/>
      <c r="E247" s="67"/>
      <c r="F247" s="67"/>
      <c r="G247" s="10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41"/>
      <c r="AD247" s="67"/>
      <c r="AE247" s="67"/>
      <c r="AF247" s="67"/>
      <c r="AG247" s="67"/>
      <c r="AH247" s="67"/>
    </row>
    <row r="248" ht="15.75" customHeight="1">
      <c r="A248" s="107"/>
      <c r="B248" s="67"/>
      <c r="C248" s="67"/>
      <c r="D248" s="67"/>
      <c r="E248" s="67"/>
      <c r="F248" s="67"/>
      <c r="G248" s="10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41"/>
      <c r="AD248" s="67"/>
      <c r="AE248" s="67"/>
      <c r="AF248" s="67"/>
      <c r="AG248" s="67"/>
      <c r="AH248" s="67"/>
    </row>
    <row r="249" ht="15.75" customHeight="1">
      <c r="A249" s="107"/>
      <c r="B249" s="67"/>
      <c r="C249" s="67"/>
      <c r="D249" s="67"/>
      <c r="E249" s="67"/>
      <c r="F249" s="67"/>
      <c r="G249" s="10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41"/>
      <c r="AD249" s="67"/>
      <c r="AE249" s="67"/>
      <c r="AF249" s="67"/>
      <c r="AG249" s="67"/>
      <c r="AH249" s="67"/>
    </row>
    <row r="250" ht="15.75" customHeight="1">
      <c r="A250" s="107"/>
      <c r="B250" s="67"/>
      <c r="C250" s="67"/>
      <c r="D250" s="67"/>
      <c r="E250" s="67"/>
      <c r="F250" s="67"/>
      <c r="G250" s="10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41"/>
      <c r="AD250" s="67"/>
      <c r="AE250" s="67"/>
      <c r="AF250" s="67"/>
      <c r="AG250" s="67"/>
      <c r="AH250" s="67"/>
    </row>
    <row r="251" ht="15.75" customHeight="1">
      <c r="A251" s="107"/>
      <c r="B251" s="67"/>
      <c r="C251" s="67"/>
      <c r="D251" s="67"/>
      <c r="E251" s="67"/>
      <c r="F251" s="67"/>
      <c r="G251" s="10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41"/>
      <c r="AD251" s="67"/>
      <c r="AE251" s="67"/>
      <c r="AF251" s="67"/>
      <c r="AG251" s="67"/>
      <c r="AH251" s="67"/>
    </row>
    <row r="252" ht="15.75" customHeight="1">
      <c r="A252" s="107"/>
      <c r="B252" s="67"/>
      <c r="C252" s="67"/>
      <c r="D252" s="67"/>
      <c r="E252" s="67"/>
      <c r="F252" s="67"/>
      <c r="G252" s="10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41"/>
      <c r="AD252" s="67"/>
      <c r="AE252" s="67"/>
      <c r="AF252" s="67"/>
      <c r="AG252" s="67"/>
      <c r="AH252" s="67"/>
    </row>
    <row r="253" ht="15.75" customHeight="1">
      <c r="A253" s="107"/>
      <c r="B253" s="67"/>
      <c r="C253" s="67"/>
      <c r="D253" s="67"/>
      <c r="E253" s="67"/>
      <c r="F253" s="67"/>
      <c r="G253" s="10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41"/>
      <c r="AD253" s="67"/>
      <c r="AE253" s="67"/>
      <c r="AF253" s="67"/>
      <c r="AG253" s="67"/>
      <c r="AH253" s="67"/>
    </row>
    <row r="254" ht="15.75" customHeight="1">
      <c r="A254" s="107"/>
      <c r="B254" s="67"/>
      <c r="C254" s="67"/>
      <c r="D254" s="67"/>
      <c r="E254" s="67"/>
      <c r="F254" s="67"/>
      <c r="G254" s="10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41"/>
      <c r="AD254" s="67"/>
      <c r="AE254" s="67"/>
      <c r="AF254" s="67"/>
      <c r="AG254" s="67"/>
      <c r="AH254" s="67"/>
    </row>
    <row r="255" ht="15.75" customHeight="1">
      <c r="A255" s="107"/>
      <c r="B255" s="67"/>
      <c r="C255" s="67"/>
      <c r="D255" s="67"/>
      <c r="E255" s="67"/>
      <c r="F255" s="67"/>
      <c r="G255" s="10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41"/>
      <c r="AD255" s="67"/>
      <c r="AE255" s="67"/>
      <c r="AF255" s="67"/>
      <c r="AG255" s="67"/>
      <c r="AH255" s="67"/>
    </row>
    <row r="256" ht="15.75" customHeight="1">
      <c r="A256" s="107"/>
      <c r="B256" s="67"/>
      <c r="C256" s="67"/>
      <c r="D256" s="67"/>
      <c r="E256" s="67"/>
      <c r="F256" s="67"/>
      <c r="G256" s="10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41"/>
      <c r="AD256" s="67"/>
      <c r="AE256" s="67"/>
      <c r="AF256" s="67"/>
      <c r="AG256" s="67"/>
      <c r="AH256" s="67"/>
    </row>
    <row r="257" ht="15.75" customHeight="1">
      <c r="A257" s="107"/>
      <c r="B257" s="67"/>
      <c r="C257" s="67"/>
      <c r="D257" s="67"/>
      <c r="E257" s="67"/>
      <c r="F257" s="67"/>
      <c r="G257" s="10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41"/>
      <c r="AD257" s="67"/>
      <c r="AE257" s="67"/>
      <c r="AF257" s="67"/>
      <c r="AG257" s="67"/>
      <c r="AH257" s="67"/>
    </row>
    <row r="258" ht="15.75" customHeight="1">
      <c r="A258" s="107"/>
      <c r="B258" s="67"/>
      <c r="C258" s="67"/>
      <c r="D258" s="67"/>
      <c r="E258" s="67"/>
      <c r="F258" s="67"/>
      <c r="G258" s="10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41"/>
      <c r="AD258" s="67"/>
      <c r="AE258" s="67"/>
      <c r="AF258" s="67"/>
      <c r="AG258" s="67"/>
      <c r="AH258" s="67"/>
    </row>
    <row r="259" ht="15.75" customHeight="1">
      <c r="A259" s="107"/>
      <c r="B259" s="67"/>
      <c r="C259" s="67"/>
      <c r="D259" s="67"/>
      <c r="E259" s="67"/>
      <c r="F259" s="67"/>
      <c r="G259" s="10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41"/>
      <c r="AD259" s="67"/>
      <c r="AE259" s="67"/>
      <c r="AF259" s="67"/>
      <c r="AG259" s="67"/>
      <c r="AH259" s="67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6:G6"/>
    <mergeCell ref="H6:L6"/>
    <mergeCell ref="M6:Q6"/>
    <mergeCell ref="R6:V6"/>
    <mergeCell ref="W6:AA6"/>
    <mergeCell ref="AB6:AC6"/>
    <mergeCell ref="G7:G8"/>
    <mergeCell ref="L7:L8"/>
    <mergeCell ref="Q7:Q8"/>
    <mergeCell ref="V7:V8"/>
    <mergeCell ref="AA7:AA8"/>
    <mergeCell ref="AB7:AB8"/>
    <mergeCell ref="A1:AC1"/>
    <mergeCell ref="A2:AC2"/>
    <mergeCell ref="A3:AC3"/>
    <mergeCell ref="A4:AC4"/>
    <mergeCell ref="A5:AC5"/>
    <mergeCell ref="A6:A8"/>
    <mergeCell ref="B6:B8"/>
    <mergeCell ref="AC7:AC8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14"/>
    <col customWidth="1" min="3" max="40" width="9.86"/>
  </cols>
  <sheetData>
    <row r="1" ht="24.75" customHeight="1">
      <c r="A1" s="212" t="s">
        <v>343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3"/>
    </row>
    <row r="2" ht="24.75" customHeight="1">
      <c r="A2" s="213" t="s">
        <v>344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 ht="24.75" customHeight="1">
      <c r="A3" s="214" t="s">
        <v>345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8"/>
    </row>
    <row r="4" ht="24.75" customHeight="1">
      <c r="A4" s="215" t="s">
        <v>346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8"/>
    </row>
    <row r="5" ht="24.75" customHeight="1">
      <c r="A5" s="216" t="s">
        <v>5</v>
      </c>
      <c r="B5" s="216" t="s">
        <v>347</v>
      </c>
      <c r="C5" s="14" t="s">
        <v>348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  <c r="V5" s="14" t="s">
        <v>349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/>
    </row>
    <row r="6" ht="24.75" customHeight="1">
      <c r="A6" s="20"/>
      <c r="B6" s="20"/>
      <c r="C6" s="217" t="s">
        <v>12</v>
      </c>
      <c r="D6" s="217" t="s">
        <v>43</v>
      </c>
      <c r="E6" s="217" t="s">
        <v>63</v>
      </c>
      <c r="F6" s="217" t="s">
        <v>82</v>
      </c>
      <c r="G6" s="217" t="s">
        <v>101</v>
      </c>
      <c r="H6" s="217" t="s">
        <v>106</v>
      </c>
      <c r="I6" s="217" t="s">
        <v>110</v>
      </c>
      <c r="J6" s="217" t="s">
        <v>120</v>
      </c>
      <c r="K6" s="217" t="s">
        <v>128</v>
      </c>
      <c r="L6" s="217" t="s">
        <v>132</v>
      </c>
      <c r="M6" s="217" t="s">
        <v>135</v>
      </c>
      <c r="N6" s="217" t="s">
        <v>140</v>
      </c>
      <c r="O6" s="217" t="s">
        <v>143</v>
      </c>
      <c r="P6" s="217" t="s">
        <v>148</v>
      </c>
      <c r="Q6" s="217" t="s">
        <v>166</v>
      </c>
      <c r="R6" s="217" t="s">
        <v>169</v>
      </c>
      <c r="S6" s="218" t="s">
        <v>350</v>
      </c>
      <c r="T6" s="24" t="s">
        <v>351</v>
      </c>
      <c r="U6" s="219" t="s">
        <v>40</v>
      </c>
      <c r="V6" s="220" t="s">
        <v>172</v>
      </c>
      <c r="W6" s="220" t="s">
        <v>175</v>
      </c>
      <c r="X6" s="220" t="s">
        <v>179</v>
      </c>
      <c r="Y6" s="220" t="s">
        <v>182</v>
      </c>
      <c r="Z6" s="220" t="s">
        <v>186</v>
      </c>
      <c r="AA6" s="220" t="s">
        <v>189</v>
      </c>
      <c r="AB6" s="220" t="s">
        <v>192</v>
      </c>
      <c r="AC6" s="220" t="s">
        <v>194</v>
      </c>
      <c r="AD6" s="220" t="s">
        <v>197</v>
      </c>
      <c r="AE6" s="220" t="s">
        <v>222</v>
      </c>
      <c r="AF6" s="220" t="s">
        <v>241</v>
      </c>
      <c r="AG6" s="220" t="s">
        <v>253</v>
      </c>
      <c r="AH6" s="220" t="s">
        <v>271</v>
      </c>
      <c r="AI6" s="220" t="s">
        <v>293</v>
      </c>
      <c r="AJ6" s="220" t="s">
        <v>312</v>
      </c>
      <c r="AK6" s="220" t="s">
        <v>328</v>
      </c>
      <c r="AL6" s="218" t="s">
        <v>350</v>
      </c>
      <c r="AM6" s="24" t="s">
        <v>351</v>
      </c>
      <c r="AN6" s="219" t="s">
        <v>40</v>
      </c>
    </row>
    <row r="7" ht="24.75" customHeight="1">
      <c r="A7" s="30"/>
      <c r="B7" s="30"/>
      <c r="C7" s="217">
        <v>25.0</v>
      </c>
      <c r="D7" s="217">
        <v>25.0</v>
      </c>
      <c r="E7" s="217">
        <v>25.0</v>
      </c>
      <c r="F7" s="217">
        <v>25.0</v>
      </c>
      <c r="G7" s="217">
        <v>25.0</v>
      </c>
      <c r="H7" s="217">
        <v>25.0</v>
      </c>
      <c r="I7" s="217">
        <v>25.0</v>
      </c>
      <c r="J7" s="217">
        <v>25.0</v>
      </c>
      <c r="K7" s="217">
        <v>25.0</v>
      </c>
      <c r="L7" s="217">
        <v>25.0</v>
      </c>
      <c r="M7" s="217">
        <v>25.0</v>
      </c>
      <c r="N7" s="217">
        <v>25.0</v>
      </c>
      <c r="O7" s="217">
        <v>25.0</v>
      </c>
      <c r="P7" s="217">
        <v>25.0</v>
      </c>
      <c r="Q7" s="217">
        <v>25.0</v>
      </c>
      <c r="R7" s="217">
        <v>25.0</v>
      </c>
      <c r="S7" s="218">
        <f t="shared" ref="S7:S56" si="1">SUM(C7:R7)</f>
        <v>400</v>
      </c>
      <c r="T7" s="30"/>
      <c r="U7" s="30"/>
      <c r="V7" s="220">
        <v>25.0</v>
      </c>
      <c r="W7" s="220">
        <v>25.0</v>
      </c>
      <c r="X7" s="220">
        <v>25.0</v>
      </c>
      <c r="Y7" s="220">
        <v>25.0</v>
      </c>
      <c r="Z7" s="220">
        <v>25.0</v>
      </c>
      <c r="AA7" s="220">
        <v>25.0</v>
      </c>
      <c r="AB7" s="220">
        <v>25.0</v>
      </c>
      <c r="AC7" s="220">
        <v>25.0</v>
      </c>
      <c r="AD7" s="220">
        <v>25.0</v>
      </c>
      <c r="AE7" s="220">
        <v>25.0</v>
      </c>
      <c r="AF7" s="220">
        <v>25.0</v>
      </c>
      <c r="AG7" s="220">
        <v>25.0</v>
      </c>
      <c r="AH7" s="220">
        <v>25.0</v>
      </c>
      <c r="AI7" s="220">
        <v>25.0</v>
      </c>
      <c r="AJ7" s="220">
        <v>25.0</v>
      </c>
      <c r="AK7" s="220">
        <v>25.0</v>
      </c>
      <c r="AL7" s="218">
        <f t="shared" ref="AL7:AL56" si="2">SUM(V7:AK7)</f>
        <v>400</v>
      </c>
      <c r="AM7" s="30"/>
      <c r="AN7" s="30"/>
    </row>
    <row r="8" ht="24.75" customHeight="1">
      <c r="A8" s="221">
        <v>1.0</v>
      </c>
      <c r="B8" s="222"/>
      <c r="C8" s="223">
        <f>'VI-LP-1'!AB10</f>
        <v>0</v>
      </c>
      <c r="D8" s="224">
        <f>'VI-LP-2'!AB10</f>
        <v>2</v>
      </c>
      <c r="E8" s="224">
        <f>'VI-LP-3'!AB10</f>
        <v>5</v>
      </c>
      <c r="F8" s="224">
        <f>'VI-LP-4'!AB10</f>
        <v>0</v>
      </c>
      <c r="G8" s="224">
        <f>'VI-LP-5'!AB10</f>
        <v>0</v>
      </c>
      <c r="H8" s="224">
        <f>'VI-LP-6'!AB10</f>
        <v>0</v>
      </c>
      <c r="I8" s="224">
        <f>'VI-LP-7'!AB10</f>
        <v>0</v>
      </c>
      <c r="J8" s="224">
        <f>'VI-LP-8'!AB10</f>
        <v>0</v>
      </c>
      <c r="K8" s="224">
        <f>'VI-LP-9'!AB10</f>
        <v>0</v>
      </c>
      <c r="L8" s="224">
        <f>'VI-LP-10'!AB10</f>
        <v>0</v>
      </c>
      <c r="M8" s="224">
        <f>'VI-LP-11'!AB10</f>
        <v>0</v>
      </c>
      <c r="N8" s="224">
        <f>'VI-LP-12'!AB10</f>
        <v>0</v>
      </c>
      <c r="O8" s="224">
        <f>'VI-LP-13'!AB10</f>
        <v>0</v>
      </c>
      <c r="P8" s="224">
        <f>'VI-LP-14'!AB10</f>
        <v>0</v>
      </c>
      <c r="Q8" s="224">
        <f>'VI-LP-15'!AB10</f>
        <v>0</v>
      </c>
      <c r="R8" s="224">
        <f>'VI-LP-16'!AB10</f>
        <v>0</v>
      </c>
      <c r="S8" s="225">
        <f t="shared" si="1"/>
        <v>7</v>
      </c>
      <c r="T8" s="226">
        <f t="shared" ref="T8:T56" si="3">S8/16</f>
        <v>0.4375</v>
      </c>
      <c r="U8" s="227" t="str">
        <f t="shared" ref="U8:U56" si="4">IF(T8&gt;=20,"A",IF(T8&gt;=15,"B",IF(T8&gt;=10,"C","D")))</f>
        <v>D</v>
      </c>
      <c r="V8" s="228">
        <f>'VI-LP-17'!AB10</f>
        <v>0</v>
      </c>
      <c r="W8" s="229">
        <f>'VI-LP-18'!AB10</f>
        <v>0</v>
      </c>
      <c r="X8" s="229">
        <f>'VI-LP-19'!AA10</f>
        <v>0</v>
      </c>
      <c r="Y8" s="229">
        <f>'VI-LP-20'!AB10</f>
        <v>0</v>
      </c>
      <c r="Z8" s="229">
        <f>'VI-LP-21'!AB10</f>
        <v>0</v>
      </c>
      <c r="AA8" s="229">
        <f>'VI-LP-22'!AB10</f>
        <v>0</v>
      </c>
      <c r="AB8" s="229">
        <f>'VI-LP-23'!AB10</f>
        <v>0</v>
      </c>
      <c r="AC8" s="229">
        <f>'VI-LP-24'!AB10</f>
        <v>0</v>
      </c>
      <c r="AD8" s="229">
        <f>'VI-LP-25'!AB10</f>
        <v>0</v>
      </c>
      <c r="AE8" s="229">
        <f>'VI-LP-26'!AB10</f>
        <v>0</v>
      </c>
      <c r="AF8" s="230">
        <f>'VI-LP-27'!AB10</f>
        <v>0</v>
      </c>
      <c r="AG8" s="229">
        <f>'VI-LP-28'!AB10</f>
        <v>0</v>
      </c>
      <c r="AH8" s="229">
        <f>'VI-LP-29'!AB10</f>
        <v>0</v>
      </c>
      <c r="AI8" s="229">
        <f>'VI-LP-30'!AB10</f>
        <v>0</v>
      </c>
      <c r="AJ8" s="229">
        <f>'VI-LP-31'!AB10</f>
        <v>0</v>
      </c>
      <c r="AK8" s="229">
        <f>'VI-LP-32'!AB10</f>
        <v>0</v>
      </c>
      <c r="AL8" s="225">
        <f t="shared" si="2"/>
        <v>0</v>
      </c>
      <c r="AM8" s="226">
        <f t="shared" ref="AM8:AM56" si="5">AL8/16</f>
        <v>0</v>
      </c>
      <c r="AN8" s="227" t="str">
        <f t="shared" ref="AN8:AN56" si="6">IF(AM8&gt;=20,"A",IF(AM8&gt;=15,"B",IF(AM8&gt;=10,"C","D")))</f>
        <v>D</v>
      </c>
    </row>
    <row r="9" ht="24.75" customHeight="1">
      <c r="A9" s="231">
        <v>3.0</v>
      </c>
      <c r="B9" s="232"/>
      <c r="C9" s="223">
        <f>'VI-LP-1'!AB11</f>
        <v>0</v>
      </c>
      <c r="D9" s="224">
        <f>'VI-LP-2'!AB11</f>
        <v>0</v>
      </c>
      <c r="E9" s="224">
        <f>'VI-LP-3'!AB11</f>
        <v>0</v>
      </c>
      <c r="F9" s="224">
        <f>'VI-LP-4'!AB11</f>
        <v>0</v>
      </c>
      <c r="G9" s="224">
        <f>'VI-LP-5'!AB11</f>
        <v>0</v>
      </c>
      <c r="H9" s="224">
        <f>'VI-LP-6'!AB11</f>
        <v>0</v>
      </c>
      <c r="I9" s="224">
        <f>'VI-LP-7'!AB11</f>
        <v>0</v>
      </c>
      <c r="J9" s="224">
        <f>'VI-LP-8'!AB11</f>
        <v>0</v>
      </c>
      <c r="K9" s="224">
        <f>'VI-LP-9'!AB11</f>
        <v>0</v>
      </c>
      <c r="L9" s="224">
        <f>'VI-LP-10'!AB11</f>
        <v>0</v>
      </c>
      <c r="M9" s="224">
        <f>'VI-LP-11'!AB11</f>
        <v>0</v>
      </c>
      <c r="N9" s="224">
        <f>'VI-LP-12'!AB11</f>
        <v>0</v>
      </c>
      <c r="O9" s="224">
        <f>'VI-LP-13'!AB11</f>
        <v>0</v>
      </c>
      <c r="P9" s="224">
        <f>'VI-LP-14'!AB11</f>
        <v>0</v>
      </c>
      <c r="Q9" s="224">
        <f>'VI-LP-15'!AB11</f>
        <v>0</v>
      </c>
      <c r="R9" s="224">
        <f>'VI-LP-16'!AB11</f>
        <v>0</v>
      </c>
      <c r="S9" s="225">
        <f t="shared" si="1"/>
        <v>0</v>
      </c>
      <c r="T9" s="226">
        <f t="shared" si="3"/>
        <v>0</v>
      </c>
      <c r="U9" s="227" t="str">
        <f t="shared" si="4"/>
        <v>D</v>
      </c>
      <c r="V9" s="228">
        <f>'VI-LP-17'!AB11</f>
        <v>0</v>
      </c>
      <c r="W9" s="229">
        <f>'VI-LP-18'!AB11</f>
        <v>0</v>
      </c>
      <c r="X9" s="229">
        <f>'VI-LP-19'!AA11</f>
        <v>0</v>
      </c>
      <c r="Y9" s="229">
        <f>'VI-LP-20'!AB11</f>
        <v>0</v>
      </c>
      <c r="Z9" s="229">
        <f>'VI-LP-21'!AB11</f>
        <v>0</v>
      </c>
      <c r="AA9" s="229">
        <f>'VI-LP-22'!AB11</f>
        <v>0</v>
      </c>
      <c r="AB9" s="229">
        <f>'VI-LP-23'!AB11</f>
        <v>0</v>
      </c>
      <c r="AC9" s="229">
        <f>'VI-LP-24'!AB11</f>
        <v>0</v>
      </c>
      <c r="AD9" s="229">
        <f>'VI-LP-25'!AB11</f>
        <v>0</v>
      </c>
      <c r="AE9" s="229">
        <f>'VI-LP-26'!AB11</f>
        <v>0</v>
      </c>
      <c r="AF9" s="230">
        <f>'VI-LP-27'!AB11</f>
        <v>0</v>
      </c>
      <c r="AG9" s="229">
        <f>'VI-LP-28'!AB11</f>
        <v>0</v>
      </c>
      <c r="AH9" s="229">
        <f>'VI-LP-29'!AB11</f>
        <v>0</v>
      </c>
      <c r="AI9" s="229">
        <f>'VI-LP-30'!AB11</f>
        <v>0</v>
      </c>
      <c r="AJ9" s="229">
        <f>'VI-LP-31'!AB11</f>
        <v>0</v>
      </c>
      <c r="AK9" s="229">
        <f>'VI-LP-32'!AB11</f>
        <v>0</v>
      </c>
      <c r="AL9" s="225">
        <f t="shared" si="2"/>
        <v>0</v>
      </c>
      <c r="AM9" s="226">
        <f t="shared" si="5"/>
        <v>0</v>
      </c>
      <c r="AN9" s="227" t="str">
        <f t="shared" si="6"/>
        <v>D</v>
      </c>
    </row>
    <row r="10" ht="24.75" customHeight="1">
      <c r="A10" s="231">
        <v>4.0</v>
      </c>
      <c r="B10" s="232"/>
      <c r="C10" s="223">
        <f>'VI-LP-1'!AB12</f>
        <v>0</v>
      </c>
      <c r="D10" s="224">
        <f>'VI-LP-2'!AB12</f>
        <v>0</v>
      </c>
      <c r="E10" s="224">
        <f>'VI-LP-3'!AB12</f>
        <v>0</v>
      </c>
      <c r="F10" s="224">
        <f>'VI-LP-4'!AB12</f>
        <v>0</v>
      </c>
      <c r="G10" s="224">
        <f>'VI-LP-5'!AB12</f>
        <v>0</v>
      </c>
      <c r="H10" s="224">
        <f>'VI-LP-6'!AB12</f>
        <v>0</v>
      </c>
      <c r="I10" s="224">
        <f>'VI-LP-7'!AB12</f>
        <v>0</v>
      </c>
      <c r="J10" s="224">
        <f>'VI-LP-8'!AB12</f>
        <v>0</v>
      </c>
      <c r="K10" s="224">
        <f>'VI-LP-9'!AB12</f>
        <v>0</v>
      </c>
      <c r="L10" s="224">
        <f>'VI-LP-10'!AB12</f>
        <v>0</v>
      </c>
      <c r="M10" s="224">
        <f>'VI-LP-11'!AB12</f>
        <v>0</v>
      </c>
      <c r="N10" s="224">
        <f>'VI-LP-12'!AB12</f>
        <v>0</v>
      </c>
      <c r="O10" s="224">
        <f>'VI-LP-13'!AB12</f>
        <v>0</v>
      </c>
      <c r="P10" s="224">
        <f>'VI-LP-14'!AB12</f>
        <v>0</v>
      </c>
      <c r="Q10" s="224">
        <f>'VI-LP-15'!AB12</f>
        <v>0</v>
      </c>
      <c r="R10" s="224">
        <f>'VI-LP-16'!AB12</f>
        <v>0</v>
      </c>
      <c r="S10" s="225">
        <f t="shared" si="1"/>
        <v>0</v>
      </c>
      <c r="T10" s="226">
        <f t="shared" si="3"/>
        <v>0</v>
      </c>
      <c r="U10" s="227" t="str">
        <f t="shared" si="4"/>
        <v>D</v>
      </c>
      <c r="V10" s="228">
        <f>'VI-LP-17'!AB12</f>
        <v>0</v>
      </c>
      <c r="W10" s="229">
        <f>'VI-LP-18'!AB12</f>
        <v>0</v>
      </c>
      <c r="X10" s="229">
        <f>'VI-LP-19'!AA12</f>
        <v>0</v>
      </c>
      <c r="Y10" s="229">
        <f>'VI-LP-20'!AB12</f>
        <v>0</v>
      </c>
      <c r="Z10" s="229">
        <f>'VI-LP-21'!AB12</f>
        <v>0</v>
      </c>
      <c r="AA10" s="229">
        <f>'VI-LP-22'!AB12</f>
        <v>0</v>
      </c>
      <c r="AB10" s="229">
        <f>'VI-LP-23'!AB12</f>
        <v>0</v>
      </c>
      <c r="AC10" s="229">
        <f>'VI-LP-24'!AB12</f>
        <v>0</v>
      </c>
      <c r="AD10" s="229">
        <f>'VI-LP-25'!AB12</f>
        <v>0</v>
      </c>
      <c r="AE10" s="229">
        <f>'VI-LP-26'!AB12</f>
        <v>0</v>
      </c>
      <c r="AF10" s="230">
        <f>'VI-LP-27'!AB12</f>
        <v>0</v>
      </c>
      <c r="AG10" s="229">
        <f>'VI-LP-28'!AB12</f>
        <v>0</v>
      </c>
      <c r="AH10" s="229">
        <f>'VI-LP-29'!AB12</f>
        <v>0</v>
      </c>
      <c r="AI10" s="229">
        <f>'VI-LP-30'!AB12</f>
        <v>0</v>
      </c>
      <c r="AJ10" s="229">
        <f>'VI-LP-31'!AB12</f>
        <v>0</v>
      </c>
      <c r="AK10" s="229">
        <f>'VI-LP-32'!AB12</f>
        <v>0</v>
      </c>
      <c r="AL10" s="225">
        <f t="shared" si="2"/>
        <v>0</v>
      </c>
      <c r="AM10" s="226">
        <f t="shared" si="5"/>
        <v>0</v>
      </c>
      <c r="AN10" s="227" t="str">
        <f t="shared" si="6"/>
        <v>D</v>
      </c>
    </row>
    <row r="11" ht="24.75" customHeight="1">
      <c r="A11" s="231">
        <v>5.0</v>
      </c>
      <c r="B11" s="232"/>
      <c r="C11" s="223">
        <f>'VI-LP-1'!AB13</f>
        <v>0</v>
      </c>
      <c r="D11" s="224">
        <f>'VI-LP-2'!AB13</f>
        <v>0</v>
      </c>
      <c r="E11" s="224">
        <f>'VI-LP-3'!AB13</f>
        <v>0</v>
      </c>
      <c r="F11" s="224">
        <f>'VI-LP-4'!AB13</f>
        <v>0</v>
      </c>
      <c r="G11" s="224">
        <f>'VI-LP-5'!AB13</f>
        <v>0</v>
      </c>
      <c r="H11" s="224">
        <f>'VI-LP-6'!AB13</f>
        <v>0</v>
      </c>
      <c r="I11" s="224">
        <f>'VI-LP-7'!AB13</f>
        <v>0</v>
      </c>
      <c r="J11" s="224">
        <f>'VI-LP-8'!AB13</f>
        <v>0</v>
      </c>
      <c r="K11" s="224">
        <f>'VI-LP-9'!AB13</f>
        <v>0</v>
      </c>
      <c r="L11" s="224">
        <f>'VI-LP-10'!AB13</f>
        <v>0</v>
      </c>
      <c r="M11" s="224">
        <f>'VI-LP-11'!AB13</f>
        <v>0</v>
      </c>
      <c r="N11" s="224">
        <f>'VI-LP-12'!AB13</f>
        <v>0</v>
      </c>
      <c r="O11" s="224">
        <f>'VI-LP-13'!AB13</f>
        <v>0</v>
      </c>
      <c r="P11" s="224">
        <f>'VI-LP-14'!AB13</f>
        <v>0</v>
      </c>
      <c r="Q11" s="224">
        <f>'VI-LP-15'!AB13</f>
        <v>0</v>
      </c>
      <c r="R11" s="224">
        <f>'VI-LP-16'!AB13</f>
        <v>0</v>
      </c>
      <c r="S11" s="225">
        <f t="shared" si="1"/>
        <v>0</v>
      </c>
      <c r="T11" s="226">
        <f t="shared" si="3"/>
        <v>0</v>
      </c>
      <c r="U11" s="227" t="str">
        <f t="shared" si="4"/>
        <v>D</v>
      </c>
      <c r="V11" s="228">
        <f>'VI-LP-17'!AB13</f>
        <v>0</v>
      </c>
      <c r="W11" s="229">
        <f>'VI-LP-18'!AB13</f>
        <v>0</v>
      </c>
      <c r="X11" s="229">
        <f>'VI-LP-19'!AA13</f>
        <v>0</v>
      </c>
      <c r="Y11" s="229">
        <f>'VI-LP-20'!AB13</f>
        <v>0</v>
      </c>
      <c r="Z11" s="229">
        <f>'VI-LP-21'!AB13</f>
        <v>0</v>
      </c>
      <c r="AA11" s="229">
        <f>'VI-LP-22'!AB13</f>
        <v>0</v>
      </c>
      <c r="AB11" s="229">
        <f>'VI-LP-23'!AB13</f>
        <v>0</v>
      </c>
      <c r="AC11" s="229">
        <f>'VI-LP-24'!AB13</f>
        <v>0</v>
      </c>
      <c r="AD11" s="229">
        <f>'VI-LP-25'!AB13</f>
        <v>0</v>
      </c>
      <c r="AE11" s="229">
        <f>'VI-LP-26'!AB13</f>
        <v>0</v>
      </c>
      <c r="AF11" s="230">
        <f>'VI-LP-27'!AB13</f>
        <v>0</v>
      </c>
      <c r="AG11" s="229">
        <f>'VI-LP-28'!AB13</f>
        <v>0</v>
      </c>
      <c r="AH11" s="229">
        <f>'VI-LP-29'!AB13</f>
        <v>0</v>
      </c>
      <c r="AI11" s="229">
        <f>'VI-LP-30'!AB13</f>
        <v>0</v>
      </c>
      <c r="AJ11" s="229">
        <f>'VI-LP-31'!AB13</f>
        <v>0</v>
      </c>
      <c r="AK11" s="229">
        <f>'VI-LP-32'!AB13</f>
        <v>0</v>
      </c>
      <c r="AL11" s="225">
        <f t="shared" si="2"/>
        <v>0</v>
      </c>
      <c r="AM11" s="226">
        <f t="shared" si="5"/>
        <v>0</v>
      </c>
      <c r="AN11" s="227" t="str">
        <f t="shared" si="6"/>
        <v>D</v>
      </c>
    </row>
    <row r="12" ht="24.75" customHeight="1">
      <c r="A12" s="231">
        <v>6.0</v>
      </c>
      <c r="B12" s="232"/>
      <c r="C12" s="223">
        <f>'VI-LP-1'!AB14</f>
        <v>0</v>
      </c>
      <c r="D12" s="224">
        <f>'VI-LP-2'!AB14</f>
        <v>0</v>
      </c>
      <c r="E12" s="224">
        <f>'VI-LP-3'!AB14</f>
        <v>0</v>
      </c>
      <c r="F12" s="224">
        <f>'VI-LP-4'!AB14</f>
        <v>0</v>
      </c>
      <c r="G12" s="224">
        <f>'VI-LP-5'!AB14</f>
        <v>0</v>
      </c>
      <c r="H12" s="224">
        <f>'VI-LP-6'!AB14</f>
        <v>0</v>
      </c>
      <c r="I12" s="224">
        <f>'VI-LP-7'!AB14</f>
        <v>0</v>
      </c>
      <c r="J12" s="224">
        <f>'VI-LP-8'!AB14</f>
        <v>0</v>
      </c>
      <c r="K12" s="224">
        <f>'VI-LP-9'!AB14</f>
        <v>0</v>
      </c>
      <c r="L12" s="224">
        <f>'VI-LP-10'!AB14</f>
        <v>0</v>
      </c>
      <c r="M12" s="224">
        <f>'VI-LP-11'!AB14</f>
        <v>0</v>
      </c>
      <c r="N12" s="224">
        <f>'VI-LP-12'!AB14</f>
        <v>0</v>
      </c>
      <c r="O12" s="224">
        <f>'VI-LP-13'!AB14</f>
        <v>0</v>
      </c>
      <c r="P12" s="224">
        <f>'VI-LP-14'!AB14</f>
        <v>0</v>
      </c>
      <c r="Q12" s="224">
        <f>'VI-LP-15'!AB14</f>
        <v>0</v>
      </c>
      <c r="R12" s="224">
        <f>'VI-LP-16'!AB14</f>
        <v>0</v>
      </c>
      <c r="S12" s="225">
        <f t="shared" si="1"/>
        <v>0</v>
      </c>
      <c r="T12" s="226">
        <f t="shared" si="3"/>
        <v>0</v>
      </c>
      <c r="U12" s="227" t="str">
        <f t="shared" si="4"/>
        <v>D</v>
      </c>
      <c r="V12" s="228">
        <f>'VI-LP-17'!AB14</f>
        <v>0</v>
      </c>
      <c r="W12" s="229">
        <f>'VI-LP-18'!AB14</f>
        <v>0</v>
      </c>
      <c r="X12" s="229">
        <f>'VI-LP-19'!AA14</f>
        <v>0</v>
      </c>
      <c r="Y12" s="229">
        <f>'VI-LP-20'!AB14</f>
        <v>0</v>
      </c>
      <c r="Z12" s="229">
        <f>'VI-LP-21'!AB14</f>
        <v>0</v>
      </c>
      <c r="AA12" s="229">
        <f>'VI-LP-22'!AB14</f>
        <v>0</v>
      </c>
      <c r="AB12" s="229">
        <f>'VI-LP-23'!AB14</f>
        <v>0</v>
      </c>
      <c r="AC12" s="229">
        <f>'VI-LP-24'!AB14</f>
        <v>0</v>
      </c>
      <c r="AD12" s="229">
        <f>'VI-LP-25'!AB14</f>
        <v>0</v>
      </c>
      <c r="AE12" s="229">
        <f>'VI-LP-26'!AB14</f>
        <v>0</v>
      </c>
      <c r="AF12" s="230">
        <f>'VI-LP-27'!AB14</f>
        <v>0</v>
      </c>
      <c r="AG12" s="229">
        <f>'VI-LP-28'!AB14</f>
        <v>0</v>
      </c>
      <c r="AH12" s="229">
        <f>'VI-LP-29'!AB14</f>
        <v>0</v>
      </c>
      <c r="AI12" s="229">
        <f>'VI-LP-30'!AB14</f>
        <v>0</v>
      </c>
      <c r="AJ12" s="229">
        <f>'VI-LP-31'!AB14</f>
        <v>0</v>
      </c>
      <c r="AK12" s="229">
        <f>'VI-LP-32'!AB14</f>
        <v>0</v>
      </c>
      <c r="AL12" s="225">
        <f t="shared" si="2"/>
        <v>0</v>
      </c>
      <c r="AM12" s="226">
        <f t="shared" si="5"/>
        <v>0</v>
      </c>
      <c r="AN12" s="227" t="str">
        <f t="shared" si="6"/>
        <v>D</v>
      </c>
    </row>
    <row r="13" ht="24.75" customHeight="1">
      <c r="A13" s="231">
        <v>7.0</v>
      </c>
      <c r="B13" s="232"/>
      <c r="C13" s="223">
        <f>'VI-LP-1'!AB15</f>
        <v>0</v>
      </c>
      <c r="D13" s="224">
        <f>'VI-LP-2'!AB15</f>
        <v>0</v>
      </c>
      <c r="E13" s="224">
        <f>'VI-LP-3'!AB15</f>
        <v>0</v>
      </c>
      <c r="F13" s="224">
        <f>'VI-LP-4'!AB15</f>
        <v>0</v>
      </c>
      <c r="G13" s="224">
        <f>'VI-LP-5'!AB15</f>
        <v>0</v>
      </c>
      <c r="H13" s="224">
        <f>'VI-LP-6'!AB15</f>
        <v>0</v>
      </c>
      <c r="I13" s="224">
        <f>'VI-LP-7'!AB15</f>
        <v>0</v>
      </c>
      <c r="J13" s="224">
        <f>'VI-LP-8'!AB15</f>
        <v>0</v>
      </c>
      <c r="K13" s="224">
        <f>'VI-LP-9'!AB15</f>
        <v>0</v>
      </c>
      <c r="L13" s="224">
        <f>'VI-LP-10'!AB15</f>
        <v>0</v>
      </c>
      <c r="M13" s="224">
        <f>'VI-LP-11'!AB15</f>
        <v>0</v>
      </c>
      <c r="N13" s="224">
        <f>'VI-LP-12'!AB15</f>
        <v>0</v>
      </c>
      <c r="O13" s="224">
        <f>'VI-LP-13'!AB15</f>
        <v>0</v>
      </c>
      <c r="P13" s="224">
        <f>'VI-LP-14'!AB15</f>
        <v>0</v>
      </c>
      <c r="Q13" s="224">
        <f>'VI-LP-15'!AB15</f>
        <v>0</v>
      </c>
      <c r="R13" s="224">
        <f>'VI-LP-16'!AB15</f>
        <v>0</v>
      </c>
      <c r="S13" s="225">
        <f t="shared" si="1"/>
        <v>0</v>
      </c>
      <c r="T13" s="226">
        <f t="shared" si="3"/>
        <v>0</v>
      </c>
      <c r="U13" s="227" t="str">
        <f t="shared" si="4"/>
        <v>D</v>
      </c>
      <c r="V13" s="228">
        <f>'VI-LP-17'!AB15</f>
        <v>0</v>
      </c>
      <c r="W13" s="229">
        <f>'VI-LP-18'!AB15</f>
        <v>0</v>
      </c>
      <c r="X13" s="229">
        <f>'VI-LP-19'!AA15</f>
        <v>0</v>
      </c>
      <c r="Y13" s="229">
        <f>'VI-LP-20'!AB15</f>
        <v>0</v>
      </c>
      <c r="Z13" s="229">
        <f>'VI-LP-21'!AB15</f>
        <v>0</v>
      </c>
      <c r="AA13" s="229">
        <f>'VI-LP-22'!AB15</f>
        <v>0</v>
      </c>
      <c r="AB13" s="229">
        <f>'VI-LP-23'!AB15</f>
        <v>0</v>
      </c>
      <c r="AC13" s="229">
        <f>'VI-LP-24'!AB15</f>
        <v>0</v>
      </c>
      <c r="AD13" s="229">
        <f>'VI-LP-25'!AB15</f>
        <v>0</v>
      </c>
      <c r="AE13" s="229">
        <f>'VI-LP-26'!AB15</f>
        <v>0</v>
      </c>
      <c r="AF13" s="230">
        <f>'VI-LP-27'!AB15</f>
        <v>0</v>
      </c>
      <c r="AG13" s="229">
        <f>'VI-LP-28'!AB15</f>
        <v>0</v>
      </c>
      <c r="AH13" s="229">
        <f>'VI-LP-29'!AB15</f>
        <v>0</v>
      </c>
      <c r="AI13" s="229">
        <f>'VI-LP-30'!AB15</f>
        <v>0</v>
      </c>
      <c r="AJ13" s="229">
        <f>'VI-LP-31'!AB15</f>
        <v>0</v>
      </c>
      <c r="AK13" s="229">
        <f>'VI-LP-32'!AB15</f>
        <v>0</v>
      </c>
      <c r="AL13" s="225">
        <f t="shared" si="2"/>
        <v>0</v>
      </c>
      <c r="AM13" s="226">
        <f t="shared" si="5"/>
        <v>0</v>
      </c>
      <c r="AN13" s="227" t="str">
        <f t="shared" si="6"/>
        <v>D</v>
      </c>
    </row>
    <row r="14" ht="24.75" customHeight="1">
      <c r="A14" s="231">
        <v>8.0</v>
      </c>
      <c r="B14" s="232"/>
      <c r="C14" s="223">
        <f>'VI-LP-1'!AB16</f>
        <v>0</v>
      </c>
      <c r="D14" s="224">
        <f>'VI-LP-2'!AB16</f>
        <v>0</v>
      </c>
      <c r="E14" s="224">
        <f>'VI-LP-3'!AB16</f>
        <v>0</v>
      </c>
      <c r="F14" s="224">
        <f>'VI-LP-4'!AB16</f>
        <v>0</v>
      </c>
      <c r="G14" s="224">
        <f>'VI-LP-5'!AB16</f>
        <v>0</v>
      </c>
      <c r="H14" s="224">
        <f>'VI-LP-6'!AB16</f>
        <v>0</v>
      </c>
      <c r="I14" s="224">
        <f>'VI-LP-7'!AB16</f>
        <v>0</v>
      </c>
      <c r="J14" s="224">
        <f>'VI-LP-8'!AB16</f>
        <v>0</v>
      </c>
      <c r="K14" s="224">
        <f>'VI-LP-9'!AB16</f>
        <v>0</v>
      </c>
      <c r="L14" s="224">
        <f>'VI-LP-10'!AB16</f>
        <v>0</v>
      </c>
      <c r="M14" s="224">
        <f>'VI-LP-11'!AB16</f>
        <v>0</v>
      </c>
      <c r="N14" s="224">
        <f>'VI-LP-12'!AB16</f>
        <v>0</v>
      </c>
      <c r="O14" s="224">
        <f>'VI-LP-13'!AB16</f>
        <v>0</v>
      </c>
      <c r="P14" s="224">
        <f>'VI-LP-14'!AB16</f>
        <v>0</v>
      </c>
      <c r="Q14" s="224">
        <f>'VI-LP-15'!AB16</f>
        <v>0</v>
      </c>
      <c r="R14" s="224">
        <f>'VI-LP-16'!AB16</f>
        <v>0</v>
      </c>
      <c r="S14" s="225">
        <f t="shared" si="1"/>
        <v>0</v>
      </c>
      <c r="T14" s="226">
        <f t="shared" si="3"/>
        <v>0</v>
      </c>
      <c r="U14" s="227" t="str">
        <f t="shared" si="4"/>
        <v>D</v>
      </c>
      <c r="V14" s="228">
        <f>'VI-LP-17'!AB16</f>
        <v>0</v>
      </c>
      <c r="W14" s="229">
        <f>'VI-LP-18'!AB16</f>
        <v>0</v>
      </c>
      <c r="X14" s="229">
        <f>'VI-LP-19'!AA16</f>
        <v>0</v>
      </c>
      <c r="Y14" s="229">
        <f>'VI-LP-20'!AB16</f>
        <v>0</v>
      </c>
      <c r="Z14" s="229">
        <f>'VI-LP-21'!AB16</f>
        <v>0</v>
      </c>
      <c r="AA14" s="229">
        <f>'VI-LP-22'!AB16</f>
        <v>0</v>
      </c>
      <c r="AB14" s="229">
        <f>'VI-LP-23'!AB16</f>
        <v>0</v>
      </c>
      <c r="AC14" s="229">
        <f>'VI-LP-24'!AB16</f>
        <v>0</v>
      </c>
      <c r="AD14" s="229">
        <f>'VI-LP-25'!AB16</f>
        <v>0</v>
      </c>
      <c r="AE14" s="229">
        <f>'VI-LP-26'!AB16</f>
        <v>0</v>
      </c>
      <c r="AF14" s="230">
        <f>'VI-LP-27'!AB16</f>
        <v>0</v>
      </c>
      <c r="AG14" s="229">
        <f>'VI-LP-28'!AB16</f>
        <v>0</v>
      </c>
      <c r="AH14" s="229">
        <f>'VI-LP-29'!AB16</f>
        <v>0</v>
      </c>
      <c r="AI14" s="229">
        <f>'VI-LP-30'!AB16</f>
        <v>0</v>
      </c>
      <c r="AJ14" s="229">
        <f>'VI-LP-31'!AB16</f>
        <v>0</v>
      </c>
      <c r="AK14" s="229">
        <f>'VI-LP-32'!AB16</f>
        <v>0</v>
      </c>
      <c r="AL14" s="225">
        <f t="shared" si="2"/>
        <v>0</v>
      </c>
      <c r="AM14" s="226">
        <f t="shared" si="5"/>
        <v>0</v>
      </c>
      <c r="AN14" s="227" t="str">
        <f t="shared" si="6"/>
        <v>D</v>
      </c>
    </row>
    <row r="15" ht="24.75" customHeight="1">
      <c r="A15" s="231">
        <v>9.0</v>
      </c>
      <c r="B15" s="232"/>
      <c r="C15" s="223">
        <f>'VI-LP-1'!AB17</f>
        <v>0</v>
      </c>
      <c r="D15" s="224">
        <f>'VI-LP-2'!AB17</f>
        <v>0</v>
      </c>
      <c r="E15" s="224">
        <f>'VI-LP-3'!AB17</f>
        <v>0</v>
      </c>
      <c r="F15" s="224">
        <f>'VI-LP-4'!AB17</f>
        <v>0</v>
      </c>
      <c r="G15" s="224">
        <f>'VI-LP-5'!AB17</f>
        <v>0</v>
      </c>
      <c r="H15" s="224">
        <f>'VI-LP-6'!AB17</f>
        <v>0</v>
      </c>
      <c r="I15" s="224">
        <f>'VI-LP-7'!AB17</f>
        <v>0</v>
      </c>
      <c r="J15" s="224">
        <f>'VI-LP-8'!AB17</f>
        <v>0</v>
      </c>
      <c r="K15" s="224">
        <f>'VI-LP-9'!AB17</f>
        <v>0</v>
      </c>
      <c r="L15" s="224">
        <f>'VI-LP-10'!AB17</f>
        <v>0</v>
      </c>
      <c r="M15" s="224">
        <f>'VI-LP-11'!AB17</f>
        <v>0</v>
      </c>
      <c r="N15" s="224">
        <f>'VI-LP-12'!AB17</f>
        <v>0</v>
      </c>
      <c r="O15" s="224">
        <f>'VI-LP-13'!AB17</f>
        <v>0</v>
      </c>
      <c r="P15" s="224">
        <f>'VI-LP-14'!AB17</f>
        <v>0</v>
      </c>
      <c r="Q15" s="224">
        <f>'VI-LP-15'!AB17</f>
        <v>0</v>
      </c>
      <c r="R15" s="224">
        <f>'VI-LP-16'!AB17</f>
        <v>0</v>
      </c>
      <c r="S15" s="225">
        <f t="shared" si="1"/>
        <v>0</v>
      </c>
      <c r="T15" s="226">
        <f t="shared" si="3"/>
        <v>0</v>
      </c>
      <c r="U15" s="227" t="str">
        <f t="shared" si="4"/>
        <v>D</v>
      </c>
      <c r="V15" s="228">
        <f>'VI-LP-17'!AB17</f>
        <v>0</v>
      </c>
      <c r="W15" s="229">
        <f>'VI-LP-18'!AB17</f>
        <v>0</v>
      </c>
      <c r="X15" s="229">
        <f>'VI-LP-19'!AA17</f>
        <v>0</v>
      </c>
      <c r="Y15" s="229">
        <f>'VI-LP-20'!AB17</f>
        <v>0</v>
      </c>
      <c r="Z15" s="229">
        <f>'VI-LP-21'!AB17</f>
        <v>0</v>
      </c>
      <c r="AA15" s="229">
        <f>'VI-LP-22'!AB17</f>
        <v>0</v>
      </c>
      <c r="AB15" s="229">
        <f>'VI-LP-23'!AB17</f>
        <v>0</v>
      </c>
      <c r="AC15" s="229">
        <f>'VI-LP-24'!AB17</f>
        <v>0</v>
      </c>
      <c r="AD15" s="229">
        <f>'VI-LP-25'!AB17</f>
        <v>0</v>
      </c>
      <c r="AE15" s="229">
        <f>'VI-LP-26'!AB17</f>
        <v>0</v>
      </c>
      <c r="AF15" s="230">
        <f>'VI-LP-27'!AB17</f>
        <v>0</v>
      </c>
      <c r="AG15" s="229">
        <f>'VI-LP-28'!AB17</f>
        <v>0</v>
      </c>
      <c r="AH15" s="229">
        <f>'VI-LP-29'!AB17</f>
        <v>0</v>
      </c>
      <c r="AI15" s="229">
        <f>'VI-LP-30'!AB17</f>
        <v>0</v>
      </c>
      <c r="AJ15" s="229">
        <f>'VI-LP-31'!AB17</f>
        <v>0</v>
      </c>
      <c r="AK15" s="229">
        <f>'VI-LP-32'!AB17</f>
        <v>0</v>
      </c>
      <c r="AL15" s="225">
        <f t="shared" si="2"/>
        <v>0</v>
      </c>
      <c r="AM15" s="226">
        <f t="shared" si="5"/>
        <v>0</v>
      </c>
      <c r="AN15" s="227" t="str">
        <f t="shared" si="6"/>
        <v>D</v>
      </c>
    </row>
    <row r="16" ht="24.75" customHeight="1">
      <c r="A16" s="231">
        <v>10.0</v>
      </c>
      <c r="B16" s="232"/>
      <c r="C16" s="223">
        <f>'VI-LP-1'!AB18</f>
        <v>0</v>
      </c>
      <c r="D16" s="224">
        <f>'VI-LP-2'!AB18</f>
        <v>0</v>
      </c>
      <c r="E16" s="224">
        <f>'VI-LP-3'!AB18</f>
        <v>0</v>
      </c>
      <c r="F16" s="224">
        <f>'VI-LP-4'!AB18</f>
        <v>0</v>
      </c>
      <c r="G16" s="224">
        <f>'VI-LP-5'!AB18</f>
        <v>0</v>
      </c>
      <c r="H16" s="224">
        <f>'VI-LP-6'!AB18</f>
        <v>0</v>
      </c>
      <c r="I16" s="224">
        <f>'VI-LP-7'!AB18</f>
        <v>0</v>
      </c>
      <c r="J16" s="224">
        <f>'VI-LP-8'!AB18</f>
        <v>0</v>
      </c>
      <c r="K16" s="224">
        <f>'VI-LP-9'!AB18</f>
        <v>0</v>
      </c>
      <c r="L16" s="224">
        <f>'VI-LP-10'!AB18</f>
        <v>0</v>
      </c>
      <c r="M16" s="224">
        <f>'VI-LP-11'!AB18</f>
        <v>0</v>
      </c>
      <c r="N16" s="224">
        <f>'VI-LP-12'!AB18</f>
        <v>0</v>
      </c>
      <c r="O16" s="224">
        <f>'VI-LP-13'!AB18</f>
        <v>0</v>
      </c>
      <c r="P16" s="224">
        <f>'VI-LP-14'!AB18</f>
        <v>0</v>
      </c>
      <c r="Q16" s="224">
        <f>'VI-LP-15'!AB18</f>
        <v>0</v>
      </c>
      <c r="R16" s="224">
        <f>'VI-LP-16'!AB18</f>
        <v>0</v>
      </c>
      <c r="S16" s="225">
        <f t="shared" si="1"/>
        <v>0</v>
      </c>
      <c r="T16" s="226">
        <f t="shared" si="3"/>
        <v>0</v>
      </c>
      <c r="U16" s="227" t="str">
        <f t="shared" si="4"/>
        <v>D</v>
      </c>
      <c r="V16" s="228">
        <f>'VI-LP-17'!AB18</f>
        <v>0</v>
      </c>
      <c r="W16" s="229">
        <f>'VI-LP-18'!AB18</f>
        <v>0</v>
      </c>
      <c r="X16" s="229">
        <f>'VI-LP-19'!AA18</f>
        <v>0</v>
      </c>
      <c r="Y16" s="229">
        <f>'VI-LP-20'!AB18</f>
        <v>0</v>
      </c>
      <c r="Z16" s="229">
        <f>'VI-LP-21'!AB18</f>
        <v>0</v>
      </c>
      <c r="AA16" s="229">
        <f>'VI-LP-22'!AB18</f>
        <v>0</v>
      </c>
      <c r="AB16" s="229">
        <f>'VI-LP-23'!AB18</f>
        <v>0</v>
      </c>
      <c r="AC16" s="229">
        <f>'VI-LP-24'!AB18</f>
        <v>0</v>
      </c>
      <c r="AD16" s="229">
        <f>'VI-LP-25'!AB18</f>
        <v>0</v>
      </c>
      <c r="AE16" s="229">
        <f>'VI-LP-26'!AB18</f>
        <v>0</v>
      </c>
      <c r="AF16" s="230">
        <f>'VI-LP-27'!AB18</f>
        <v>0</v>
      </c>
      <c r="AG16" s="229">
        <f>'VI-LP-28'!AB18</f>
        <v>0</v>
      </c>
      <c r="AH16" s="229">
        <f>'VI-LP-29'!AB18</f>
        <v>0</v>
      </c>
      <c r="AI16" s="229">
        <f>'VI-LP-30'!AB18</f>
        <v>0</v>
      </c>
      <c r="AJ16" s="229">
        <f>'VI-LP-31'!AB18</f>
        <v>0</v>
      </c>
      <c r="AK16" s="229">
        <f>'VI-LP-32'!AB18</f>
        <v>0</v>
      </c>
      <c r="AL16" s="225">
        <f t="shared" si="2"/>
        <v>0</v>
      </c>
      <c r="AM16" s="226">
        <f t="shared" si="5"/>
        <v>0</v>
      </c>
      <c r="AN16" s="227" t="str">
        <f t="shared" si="6"/>
        <v>D</v>
      </c>
    </row>
    <row r="17" ht="24.75" customHeight="1">
      <c r="A17" s="231">
        <v>11.0</v>
      </c>
      <c r="B17" s="232"/>
      <c r="C17" s="223">
        <f>'VI-LP-1'!AB19</f>
        <v>0</v>
      </c>
      <c r="D17" s="224">
        <f>'VI-LP-2'!AB19</f>
        <v>0</v>
      </c>
      <c r="E17" s="224">
        <f>'VI-LP-3'!AB19</f>
        <v>0</v>
      </c>
      <c r="F17" s="224">
        <f>'VI-LP-4'!AB19</f>
        <v>0</v>
      </c>
      <c r="G17" s="224">
        <f>'VI-LP-5'!AB19</f>
        <v>0</v>
      </c>
      <c r="H17" s="224">
        <f>'VI-LP-6'!AB19</f>
        <v>0</v>
      </c>
      <c r="I17" s="224">
        <f>'VI-LP-7'!AB19</f>
        <v>0</v>
      </c>
      <c r="J17" s="224">
        <f>'VI-LP-8'!AB19</f>
        <v>0</v>
      </c>
      <c r="K17" s="224">
        <f>'VI-LP-9'!AB19</f>
        <v>0</v>
      </c>
      <c r="L17" s="224">
        <f>'VI-LP-10'!AB19</f>
        <v>0</v>
      </c>
      <c r="M17" s="224">
        <f>'VI-LP-11'!AB19</f>
        <v>0</v>
      </c>
      <c r="N17" s="224">
        <f>'VI-LP-12'!AB19</f>
        <v>0</v>
      </c>
      <c r="O17" s="224">
        <f>'VI-LP-13'!AB19</f>
        <v>0</v>
      </c>
      <c r="P17" s="224">
        <f>'VI-LP-14'!AB19</f>
        <v>0</v>
      </c>
      <c r="Q17" s="224">
        <f>'VI-LP-15'!AB19</f>
        <v>0</v>
      </c>
      <c r="R17" s="224">
        <f>'VI-LP-16'!AB19</f>
        <v>0</v>
      </c>
      <c r="S17" s="225">
        <f t="shared" si="1"/>
        <v>0</v>
      </c>
      <c r="T17" s="226">
        <f t="shared" si="3"/>
        <v>0</v>
      </c>
      <c r="U17" s="227" t="str">
        <f t="shared" si="4"/>
        <v>D</v>
      </c>
      <c r="V17" s="228">
        <f>'VI-LP-17'!AB19</f>
        <v>0</v>
      </c>
      <c r="W17" s="229">
        <f>'VI-LP-18'!AB19</f>
        <v>0</v>
      </c>
      <c r="X17" s="229">
        <f>'VI-LP-19'!AA19</f>
        <v>0</v>
      </c>
      <c r="Y17" s="229">
        <f>'VI-LP-20'!AB19</f>
        <v>0</v>
      </c>
      <c r="Z17" s="229">
        <f>'VI-LP-21'!AB19</f>
        <v>0</v>
      </c>
      <c r="AA17" s="229">
        <f>'VI-LP-22'!AB19</f>
        <v>0</v>
      </c>
      <c r="AB17" s="229">
        <f>'VI-LP-23'!AB19</f>
        <v>0</v>
      </c>
      <c r="AC17" s="229">
        <f>'VI-LP-24'!AB19</f>
        <v>0</v>
      </c>
      <c r="AD17" s="229">
        <f>'VI-LP-25'!AB19</f>
        <v>0</v>
      </c>
      <c r="AE17" s="229">
        <f>'VI-LP-26'!AB19</f>
        <v>0</v>
      </c>
      <c r="AF17" s="230">
        <f>'VI-LP-27'!AB19</f>
        <v>0</v>
      </c>
      <c r="AG17" s="229">
        <f>'VI-LP-28'!AB19</f>
        <v>0</v>
      </c>
      <c r="AH17" s="229">
        <f>'VI-LP-29'!AB19</f>
        <v>0</v>
      </c>
      <c r="AI17" s="229">
        <f>'VI-LP-30'!AB19</f>
        <v>0</v>
      </c>
      <c r="AJ17" s="229">
        <f>'VI-LP-31'!AB19</f>
        <v>0</v>
      </c>
      <c r="AK17" s="229">
        <f>'VI-LP-32'!AB19</f>
        <v>0</v>
      </c>
      <c r="AL17" s="225">
        <f t="shared" si="2"/>
        <v>0</v>
      </c>
      <c r="AM17" s="226">
        <f t="shared" si="5"/>
        <v>0</v>
      </c>
      <c r="AN17" s="227" t="str">
        <f t="shared" si="6"/>
        <v>D</v>
      </c>
    </row>
    <row r="18" ht="24.75" customHeight="1">
      <c r="A18" s="231">
        <v>12.0</v>
      </c>
      <c r="B18" s="232"/>
      <c r="C18" s="223">
        <f>'VI-LP-1'!AB20</f>
        <v>0</v>
      </c>
      <c r="D18" s="224">
        <f>'VI-LP-2'!AB20</f>
        <v>0</v>
      </c>
      <c r="E18" s="224">
        <f>'VI-LP-3'!AB20</f>
        <v>0</v>
      </c>
      <c r="F18" s="224">
        <f>'VI-LP-4'!AB20</f>
        <v>0</v>
      </c>
      <c r="G18" s="224">
        <f>'VI-LP-5'!AB20</f>
        <v>0</v>
      </c>
      <c r="H18" s="224">
        <f>'VI-LP-6'!AB20</f>
        <v>0</v>
      </c>
      <c r="I18" s="224">
        <f>'VI-LP-7'!AB20</f>
        <v>0</v>
      </c>
      <c r="J18" s="224">
        <f>'VI-LP-8'!AB20</f>
        <v>0</v>
      </c>
      <c r="K18" s="224">
        <f>'VI-LP-9'!AB20</f>
        <v>0</v>
      </c>
      <c r="L18" s="224">
        <f>'VI-LP-10'!AB20</f>
        <v>0</v>
      </c>
      <c r="M18" s="224">
        <f>'VI-LP-11'!AB20</f>
        <v>0</v>
      </c>
      <c r="N18" s="224">
        <f>'VI-LP-12'!AB20</f>
        <v>0</v>
      </c>
      <c r="O18" s="224">
        <f>'VI-LP-13'!AB20</f>
        <v>0</v>
      </c>
      <c r="P18" s="224">
        <f>'VI-LP-14'!AB20</f>
        <v>0</v>
      </c>
      <c r="Q18" s="224">
        <f>'VI-LP-15'!AB20</f>
        <v>0</v>
      </c>
      <c r="R18" s="224">
        <f>'VI-LP-16'!AB20</f>
        <v>0</v>
      </c>
      <c r="S18" s="225">
        <f t="shared" si="1"/>
        <v>0</v>
      </c>
      <c r="T18" s="226">
        <f t="shared" si="3"/>
        <v>0</v>
      </c>
      <c r="U18" s="227" t="str">
        <f t="shared" si="4"/>
        <v>D</v>
      </c>
      <c r="V18" s="228">
        <f>'VI-LP-17'!AB20</f>
        <v>0</v>
      </c>
      <c r="W18" s="229">
        <f>'VI-LP-18'!AB20</f>
        <v>0</v>
      </c>
      <c r="X18" s="229">
        <f>'VI-LP-19'!AA20</f>
        <v>0</v>
      </c>
      <c r="Y18" s="229">
        <f>'VI-LP-20'!AB20</f>
        <v>0</v>
      </c>
      <c r="Z18" s="229">
        <f>'VI-LP-21'!AB20</f>
        <v>0</v>
      </c>
      <c r="AA18" s="229">
        <f>'VI-LP-22'!AB20</f>
        <v>0</v>
      </c>
      <c r="AB18" s="229">
        <f>'VI-LP-23'!AB20</f>
        <v>0</v>
      </c>
      <c r="AC18" s="229">
        <f>'VI-LP-24'!AB20</f>
        <v>0</v>
      </c>
      <c r="AD18" s="229">
        <f>'VI-LP-25'!AB20</f>
        <v>0</v>
      </c>
      <c r="AE18" s="229">
        <f>'VI-LP-26'!AB20</f>
        <v>0</v>
      </c>
      <c r="AF18" s="230">
        <f>'VI-LP-27'!AB20</f>
        <v>0</v>
      </c>
      <c r="AG18" s="229">
        <f>'VI-LP-28'!AB20</f>
        <v>0</v>
      </c>
      <c r="AH18" s="229">
        <f>'VI-LP-29'!AB20</f>
        <v>0</v>
      </c>
      <c r="AI18" s="229">
        <f>'VI-LP-30'!AB20</f>
        <v>0</v>
      </c>
      <c r="AJ18" s="229">
        <f>'VI-LP-31'!AB20</f>
        <v>0</v>
      </c>
      <c r="AK18" s="229">
        <f>'VI-LP-32'!AB20</f>
        <v>0</v>
      </c>
      <c r="AL18" s="225">
        <f t="shared" si="2"/>
        <v>0</v>
      </c>
      <c r="AM18" s="226">
        <f t="shared" si="5"/>
        <v>0</v>
      </c>
      <c r="AN18" s="227" t="str">
        <f t="shared" si="6"/>
        <v>D</v>
      </c>
    </row>
    <row r="19" ht="24.75" customHeight="1">
      <c r="A19" s="231">
        <v>13.0</v>
      </c>
      <c r="B19" s="232"/>
      <c r="C19" s="223">
        <f>'VI-LP-1'!AB21</f>
        <v>0</v>
      </c>
      <c r="D19" s="224">
        <f>'VI-LP-2'!AB21</f>
        <v>0</v>
      </c>
      <c r="E19" s="224">
        <f>'VI-LP-3'!AB21</f>
        <v>0</v>
      </c>
      <c r="F19" s="224">
        <f>'VI-LP-4'!AB21</f>
        <v>0</v>
      </c>
      <c r="G19" s="224">
        <f>'VI-LP-5'!AB21</f>
        <v>0</v>
      </c>
      <c r="H19" s="224">
        <f>'VI-LP-6'!AB21</f>
        <v>0</v>
      </c>
      <c r="I19" s="224">
        <f>'VI-LP-7'!AB21</f>
        <v>0</v>
      </c>
      <c r="J19" s="224">
        <f>'VI-LP-8'!AB21</f>
        <v>0</v>
      </c>
      <c r="K19" s="224">
        <f>'VI-LP-9'!AB21</f>
        <v>0</v>
      </c>
      <c r="L19" s="224">
        <f>'VI-LP-10'!AB21</f>
        <v>0</v>
      </c>
      <c r="M19" s="224">
        <f>'VI-LP-11'!AB21</f>
        <v>0</v>
      </c>
      <c r="N19" s="224">
        <f>'VI-LP-12'!AB21</f>
        <v>0</v>
      </c>
      <c r="O19" s="224">
        <f>'VI-LP-13'!AB21</f>
        <v>0</v>
      </c>
      <c r="P19" s="224">
        <f>'VI-LP-14'!AB21</f>
        <v>0</v>
      </c>
      <c r="Q19" s="224">
        <f>'VI-LP-15'!AB21</f>
        <v>0</v>
      </c>
      <c r="R19" s="224">
        <f>'VI-LP-16'!AB21</f>
        <v>0</v>
      </c>
      <c r="S19" s="225">
        <f t="shared" si="1"/>
        <v>0</v>
      </c>
      <c r="T19" s="226">
        <f t="shared" si="3"/>
        <v>0</v>
      </c>
      <c r="U19" s="227" t="str">
        <f t="shared" si="4"/>
        <v>D</v>
      </c>
      <c r="V19" s="228">
        <f>'VI-LP-17'!AB21</f>
        <v>0</v>
      </c>
      <c r="W19" s="229">
        <f>'VI-LP-18'!AB21</f>
        <v>0</v>
      </c>
      <c r="X19" s="229">
        <f>'VI-LP-19'!AA21</f>
        <v>0</v>
      </c>
      <c r="Y19" s="229">
        <f>'VI-LP-20'!AB21</f>
        <v>0</v>
      </c>
      <c r="Z19" s="229">
        <f>'VI-LP-21'!AB21</f>
        <v>0</v>
      </c>
      <c r="AA19" s="229">
        <f>'VI-LP-22'!AB21</f>
        <v>0</v>
      </c>
      <c r="AB19" s="229">
        <f>'VI-LP-23'!AB21</f>
        <v>0</v>
      </c>
      <c r="AC19" s="229">
        <f>'VI-LP-24'!AB21</f>
        <v>0</v>
      </c>
      <c r="AD19" s="229">
        <f>'VI-LP-25'!AB21</f>
        <v>0</v>
      </c>
      <c r="AE19" s="229">
        <f>'VI-LP-26'!AB21</f>
        <v>0</v>
      </c>
      <c r="AF19" s="230">
        <f>'VI-LP-27'!AB21</f>
        <v>0</v>
      </c>
      <c r="AG19" s="229">
        <f>'VI-LP-28'!AB21</f>
        <v>0</v>
      </c>
      <c r="AH19" s="229">
        <f>'VI-LP-29'!AB21</f>
        <v>0</v>
      </c>
      <c r="AI19" s="229">
        <f>'VI-LP-30'!AB21</f>
        <v>0</v>
      </c>
      <c r="AJ19" s="229">
        <f>'VI-LP-31'!AB21</f>
        <v>0</v>
      </c>
      <c r="AK19" s="229">
        <f>'VI-LP-32'!AB21</f>
        <v>0</v>
      </c>
      <c r="AL19" s="225">
        <f t="shared" si="2"/>
        <v>0</v>
      </c>
      <c r="AM19" s="226">
        <f t="shared" si="5"/>
        <v>0</v>
      </c>
      <c r="AN19" s="227" t="str">
        <f t="shared" si="6"/>
        <v>D</v>
      </c>
    </row>
    <row r="20" ht="24.75" customHeight="1">
      <c r="A20" s="231">
        <v>14.0</v>
      </c>
      <c r="B20" s="232"/>
      <c r="C20" s="223">
        <f>'VI-LP-1'!AB22</f>
        <v>0</v>
      </c>
      <c r="D20" s="224">
        <f>'VI-LP-2'!AB22</f>
        <v>0</v>
      </c>
      <c r="E20" s="224">
        <f>'VI-LP-3'!AB22</f>
        <v>0</v>
      </c>
      <c r="F20" s="224">
        <f>'VI-LP-4'!AB22</f>
        <v>0</v>
      </c>
      <c r="G20" s="224">
        <f>'VI-LP-5'!AB22</f>
        <v>0</v>
      </c>
      <c r="H20" s="224">
        <f>'VI-LP-6'!AB22</f>
        <v>0</v>
      </c>
      <c r="I20" s="224">
        <f>'VI-LP-7'!AB22</f>
        <v>0</v>
      </c>
      <c r="J20" s="224">
        <f>'VI-LP-8'!AB22</f>
        <v>0</v>
      </c>
      <c r="K20" s="224">
        <f>'VI-LP-9'!AB22</f>
        <v>0</v>
      </c>
      <c r="L20" s="224">
        <f>'VI-LP-10'!AB22</f>
        <v>0</v>
      </c>
      <c r="M20" s="224">
        <f>'VI-LP-11'!AB22</f>
        <v>0</v>
      </c>
      <c r="N20" s="224">
        <f>'VI-LP-12'!AB22</f>
        <v>0</v>
      </c>
      <c r="O20" s="224">
        <f>'VI-LP-13'!AB22</f>
        <v>0</v>
      </c>
      <c r="P20" s="224">
        <f>'VI-LP-14'!AB22</f>
        <v>0</v>
      </c>
      <c r="Q20" s="224">
        <f>'VI-LP-15'!AB22</f>
        <v>0</v>
      </c>
      <c r="R20" s="224">
        <f>'VI-LP-16'!AB22</f>
        <v>0</v>
      </c>
      <c r="S20" s="225">
        <f t="shared" si="1"/>
        <v>0</v>
      </c>
      <c r="T20" s="226">
        <f t="shared" si="3"/>
        <v>0</v>
      </c>
      <c r="U20" s="227" t="str">
        <f t="shared" si="4"/>
        <v>D</v>
      </c>
      <c r="V20" s="228">
        <f>'VI-LP-17'!AB22</f>
        <v>0</v>
      </c>
      <c r="W20" s="229">
        <f>'VI-LP-18'!AB22</f>
        <v>0</v>
      </c>
      <c r="X20" s="229">
        <f>'VI-LP-19'!AA22</f>
        <v>0</v>
      </c>
      <c r="Y20" s="229">
        <f>'VI-LP-20'!AB22</f>
        <v>0</v>
      </c>
      <c r="Z20" s="229">
        <f>'VI-LP-21'!AB22</f>
        <v>0</v>
      </c>
      <c r="AA20" s="229">
        <f>'VI-LP-22'!AB22</f>
        <v>0</v>
      </c>
      <c r="AB20" s="229">
        <f>'VI-LP-23'!AB22</f>
        <v>0</v>
      </c>
      <c r="AC20" s="229">
        <f>'VI-LP-24'!AB22</f>
        <v>0</v>
      </c>
      <c r="AD20" s="229">
        <f>'VI-LP-25'!AB22</f>
        <v>0</v>
      </c>
      <c r="AE20" s="229">
        <f>'VI-LP-26'!AB22</f>
        <v>0</v>
      </c>
      <c r="AF20" s="230">
        <f>'VI-LP-27'!AB22</f>
        <v>0</v>
      </c>
      <c r="AG20" s="229">
        <f>'VI-LP-28'!AB22</f>
        <v>0</v>
      </c>
      <c r="AH20" s="229">
        <f>'VI-LP-29'!AB22</f>
        <v>0</v>
      </c>
      <c r="AI20" s="229">
        <f>'VI-LP-30'!AB22</f>
        <v>0</v>
      </c>
      <c r="AJ20" s="229">
        <f>'VI-LP-31'!AB22</f>
        <v>0</v>
      </c>
      <c r="AK20" s="229">
        <f>'VI-LP-32'!AB22</f>
        <v>0</v>
      </c>
      <c r="AL20" s="225">
        <f t="shared" si="2"/>
        <v>0</v>
      </c>
      <c r="AM20" s="226">
        <f t="shared" si="5"/>
        <v>0</v>
      </c>
      <c r="AN20" s="227" t="str">
        <f t="shared" si="6"/>
        <v>D</v>
      </c>
    </row>
    <row r="21" ht="24.75" customHeight="1">
      <c r="A21" s="231">
        <v>15.0</v>
      </c>
      <c r="B21" s="232"/>
      <c r="C21" s="223">
        <f>'VI-LP-1'!AB23</f>
        <v>0</v>
      </c>
      <c r="D21" s="224">
        <f>'VI-LP-2'!AB23</f>
        <v>0</v>
      </c>
      <c r="E21" s="224">
        <f>'VI-LP-3'!AB23</f>
        <v>0</v>
      </c>
      <c r="F21" s="224">
        <f>'VI-LP-4'!AB23</f>
        <v>0</v>
      </c>
      <c r="G21" s="224">
        <f>'VI-LP-5'!AB23</f>
        <v>0</v>
      </c>
      <c r="H21" s="224">
        <f>'VI-LP-6'!AB23</f>
        <v>0</v>
      </c>
      <c r="I21" s="224">
        <f>'VI-LP-7'!AB23</f>
        <v>0</v>
      </c>
      <c r="J21" s="224">
        <f>'VI-LP-8'!AB23</f>
        <v>0</v>
      </c>
      <c r="K21" s="224">
        <f>'VI-LP-9'!AB23</f>
        <v>0</v>
      </c>
      <c r="L21" s="224">
        <f>'VI-LP-10'!AB23</f>
        <v>0</v>
      </c>
      <c r="M21" s="224">
        <f>'VI-LP-11'!AB23</f>
        <v>0</v>
      </c>
      <c r="N21" s="224">
        <f>'VI-LP-12'!AB23</f>
        <v>0</v>
      </c>
      <c r="O21" s="224">
        <f>'VI-LP-13'!AB23</f>
        <v>0</v>
      </c>
      <c r="P21" s="224">
        <f>'VI-LP-14'!AB23</f>
        <v>0</v>
      </c>
      <c r="Q21" s="224">
        <f>'VI-LP-15'!AB23</f>
        <v>0</v>
      </c>
      <c r="R21" s="224">
        <f>'VI-LP-16'!AB23</f>
        <v>0</v>
      </c>
      <c r="S21" s="225">
        <f t="shared" si="1"/>
        <v>0</v>
      </c>
      <c r="T21" s="226">
        <f t="shared" si="3"/>
        <v>0</v>
      </c>
      <c r="U21" s="227" t="str">
        <f t="shared" si="4"/>
        <v>D</v>
      </c>
      <c r="V21" s="228">
        <f>'VI-LP-17'!AB23</f>
        <v>0</v>
      </c>
      <c r="W21" s="229">
        <f>'VI-LP-18'!AB23</f>
        <v>0</v>
      </c>
      <c r="X21" s="229">
        <f>'VI-LP-19'!AA23</f>
        <v>0</v>
      </c>
      <c r="Y21" s="229">
        <f>'VI-LP-20'!AB23</f>
        <v>0</v>
      </c>
      <c r="Z21" s="229">
        <f>'VI-LP-21'!AB23</f>
        <v>0</v>
      </c>
      <c r="AA21" s="229">
        <f>'VI-LP-22'!AB23</f>
        <v>0</v>
      </c>
      <c r="AB21" s="229">
        <f>'VI-LP-23'!AB23</f>
        <v>0</v>
      </c>
      <c r="AC21" s="229">
        <f>'VI-LP-24'!AB23</f>
        <v>0</v>
      </c>
      <c r="AD21" s="229">
        <f>'VI-LP-25'!AB23</f>
        <v>0</v>
      </c>
      <c r="AE21" s="229">
        <f>'VI-LP-26'!AB23</f>
        <v>0</v>
      </c>
      <c r="AF21" s="230">
        <f>'VI-LP-27'!AB23</f>
        <v>0</v>
      </c>
      <c r="AG21" s="229">
        <f>'VI-LP-28'!AB23</f>
        <v>0</v>
      </c>
      <c r="AH21" s="229">
        <f>'VI-LP-29'!AB23</f>
        <v>0</v>
      </c>
      <c r="AI21" s="229">
        <f>'VI-LP-30'!AB23</f>
        <v>0</v>
      </c>
      <c r="AJ21" s="229">
        <f>'VI-LP-31'!AB23</f>
        <v>0</v>
      </c>
      <c r="AK21" s="229">
        <f>'VI-LP-32'!AB23</f>
        <v>0</v>
      </c>
      <c r="AL21" s="225">
        <f t="shared" si="2"/>
        <v>0</v>
      </c>
      <c r="AM21" s="226">
        <f t="shared" si="5"/>
        <v>0</v>
      </c>
      <c r="AN21" s="227" t="str">
        <f t="shared" si="6"/>
        <v>D</v>
      </c>
    </row>
    <row r="22" ht="24.75" customHeight="1">
      <c r="A22" s="231">
        <v>16.0</v>
      </c>
      <c r="B22" s="232"/>
      <c r="C22" s="223">
        <f>'VI-LP-1'!AB24</f>
        <v>0</v>
      </c>
      <c r="D22" s="224">
        <f>'VI-LP-2'!AB24</f>
        <v>0</v>
      </c>
      <c r="E22" s="224">
        <f>'VI-LP-3'!AB24</f>
        <v>0</v>
      </c>
      <c r="F22" s="224">
        <f>'VI-LP-4'!AB24</f>
        <v>0</v>
      </c>
      <c r="G22" s="224">
        <f>'VI-LP-5'!AB24</f>
        <v>0</v>
      </c>
      <c r="H22" s="224">
        <f>'VI-LP-6'!AB24</f>
        <v>0</v>
      </c>
      <c r="I22" s="224">
        <f>'VI-LP-7'!AB24</f>
        <v>0</v>
      </c>
      <c r="J22" s="224">
        <f>'VI-LP-8'!AB24</f>
        <v>0</v>
      </c>
      <c r="K22" s="224">
        <f>'VI-LP-9'!AB24</f>
        <v>0</v>
      </c>
      <c r="L22" s="224">
        <f>'VI-LP-10'!AB24</f>
        <v>0</v>
      </c>
      <c r="M22" s="224">
        <f>'VI-LP-11'!AB24</f>
        <v>0</v>
      </c>
      <c r="N22" s="224">
        <f>'VI-LP-12'!AB24</f>
        <v>0</v>
      </c>
      <c r="O22" s="224">
        <f>'VI-LP-13'!AB24</f>
        <v>0</v>
      </c>
      <c r="P22" s="224">
        <f>'VI-LP-14'!AB24</f>
        <v>0</v>
      </c>
      <c r="Q22" s="224">
        <f>'VI-LP-15'!AB24</f>
        <v>0</v>
      </c>
      <c r="R22" s="224">
        <f>'VI-LP-16'!AB24</f>
        <v>0</v>
      </c>
      <c r="S22" s="225">
        <f t="shared" si="1"/>
        <v>0</v>
      </c>
      <c r="T22" s="226">
        <f t="shared" si="3"/>
        <v>0</v>
      </c>
      <c r="U22" s="227" t="str">
        <f t="shared" si="4"/>
        <v>D</v>
      </c>
      <c r="V22" s="228">
        <f>'VI-LP-17'!AB24</f>
        <v>0</v>
      </c>
      <c r="W22" s="229">
        <f>'VI-LP-18'!AB24</f>
        <v>0</v>
      </c>
      <c r="X22" s="229">
        <f>'VI-LP-19'!AA24</f>
        <v>0</v>
      </c>
      <c r="Y22" s="229">
        <f>'VI-LP-20'!AB24</f>
        <v>0</v>
      </c>
      <c r="Z22" s="229">
        <f>'VI-LP-21'!AB24</f>
        <v>0</v>
      </c>
      <c r="AA22" s="229">
        <f>'VI-LP-22'!AB24</f>
        <v>0</v>
      </c>
      <c r="AB22" s="229">
        <f>'VI-LP-23'!AB24</f>
        <v>0</v>
      </c>
      <c r="AC22" s="229">
        <f>'VI-LP-24'!AB24</f>
        <v>0</v>
      </c>
      <c r="AD22" s="229">
        <f>'VI-LP-25'!AB24</f>
        <v>0</v>
      </c>
      <c r="AE22" s="229">
        <f>'VI-LP-26'!AB24</f>
        <v>0</v>
      </c>
      <c r="AF22" s="230">
        <f>'VI-LP-27'!AB24</f>
        <v>0</v>
      </c>
      <c r="AG22" s="229">
        <f>'VI-LP-28'!AB24</f>
        <v>0</v>
      </c>
      <c r="AH22" s="229">
        <f>'VI-LP-29'!AB24</f>
        <v>0</v>
      </c>
      <c r="AI22" s="229">
        <f>'VI-LP-30'!AB24</f>
        <v>0</v>
      </c>
      <c r="AJ22" s="229">
        <f>'VI-LP-31'!AB24</f>
        <v>0</v>
      </c>
      <c r="AK22" s="229">
        <f>'VI-LP-32'!AB24</f>
        <v>0</v>
      </c>
      <c r="AL22" s="225">
        <f t="shared" si="2"/>
        <v>0</v>
      </c>
      <c r="AM22" s="226">
        <f t="shared" si="5"/>
        <v>0</v>
      </c>
      <c r="AN22" s="227" t="str">
        <f t="shared" si="6"/>
        <v>D</v>
      </c>
    </row>
    <row r="23" ht="24.75" customHeight="1">
      <c r="A23" s="231">
        <v>17.0</v>
      </c>
      <c r="B23" s="232"/>
      <c r="C23" s="223">
        <f>'VI-LP-1'!AB25</f>
        <v>0</v>
      </c>
      <c r="D23" s="224">
        <f>'VI-LP-2'!AB25</f>
        <v>0</v>
      </c>
      <c r="E23" s="224">
        <f>'VI-LP-3'!AB25</f>
        <v>0</v>
      </c>
      <c r="F23" s="224">
        <f>'VI-LP-4'!AB25</f>
        <v>0</v>
      </c>
      <c r="G23" s="224">
        <f>'VI-LP-5'!AB25</f>
        <v>0</v>
      </c>
      <c r="H23" s="224">
        <f>'VI-LP-6'!AB25</f>
        <v>0</v>
      </c>
      <c r="I23" s="224">
        <f>'VI-LP-7'!AB25</f>
        <v>0</v>
      </c>
      <c r="J23" s="224">
        <f>'VI-LP-8'!AB25</f>
        <v>0</v>
      </c>
      <c r="K23" s="224">
        <f>'VI-LP-9'!AB25</f>
        <v>0</v>
      </c>
      <c r="L23" s="224">
        <f>'VI-LP-10'!AB25</f>
        <v>0</v>
      </c>
      <c r="M23" s="224">
        <f>'VI-LP-11'!AB25</f>
        <v>0</v>
      </c>
      <c r="N23" s="224">
        <f>'VI-LP-12'!AB25</f>
        <v>0</v>
      </c>
      <c r="O23" s="224">
        <f>'VI-LP-13'!AB25</f>
        <v>0</v>
      </c>
      <c r="P23" s="224">
        <f>'VI-LP-14'!AB25</f>
        <v>0</v>
      </c>
      <c r="Q23" s="224">
        <f>'VI-LP-15'!AB25</f>
        <v>0</v>
      </c>
      <c r="R23" s="224">
        <f>'VI-LP-16'!AB25</f>
        <v>0</v>
      </c>
      <c r="S23" s="225">
        <f t="shared" si="1"/>
        <v>0</v>
      </c>
      <c r="T23" s="226">
        <f t="shared" si="3"/>
        <v>0</v>
      </c>
      <c r="U23" s="227" t="str">
        <f t="shared" si="4"/>
        <v>D</v>
      </c>
      <c r="V23" s="228">
        <f>'VI-LP-17'!AB25</f>
        <v>0</v>
      </c>
      <c r="W23" s="229">
        <f>'VI-LP-18'!AB25</f>
        <v>0</v>
      </c>
      <c r="X23" s="229">
        <f>'VI-LP-19'!AA25</f>
        <v>0</v>
      </c>
      <c r="Y23" s="229">
        <f>'VI-LP-20'!AB25</f>
        <v>0</v>
      </c>
      <c r="Z23" s="229">
        <f>'VI-LP-21'!AB25</f>
        <v>0</v>
      </c>
      <c r="AA23" s="229">
        <f>'VI-LP-22'!AB25</f>
        <v>0</v>
      </c>
      <c r="AB23" s="229">
        <f>'VI-LP-23'!AB25</f>
        <v>0</v>
      </c>
      <c r="AC23" s="229">
        <f>'VI-LP-24'!AB25</f>
        <v>0</v>
      </c>
      <c r="AD23" s="229">
        <f>'VI-LP-25'!AB25</f>
        <v>0</v>
      </c>
      <c r="AE23" s="229">
        <f>'VI-LP-26'!AB25</f>
        <v>0</v>
      </c>
      <c r="AF23" s="230">
        <f>'VI-LP-27'!AB25</f>
        <v>0</v>
      </c>
      <c r="AG23" s="229">
        <f>'VI-LP-28'!AB25</f>
        <v>0</v>
      </c>
      <c r="AH23" s="229">
        <f>'VI-LP-29'!AB25</f>
        <v>0</v>
      </c>
      <c r="AI23" s="229">
        <f>'VI-LP-30'!AB25</f>
        <v>0</v>
      </c>
      <c r="AJ23" s="229">
        <f>'VI-LP-31'!AB25</f>
        <v>0</v>
      </c>
      <c r="AK23" s="229">
        <f>'VI-LP-32'!AB25</f>
        <v>0</v>
      </c>
      <c r="AL23" s="225">
        <f t="shared" si="2"/>
        <v>0</v>
      </c>
      <c r="AM23" s="226">
        <f t="shared" si="5"/>
        <v>0</v>
      </c>
      <c r="AN23" s="227" t="str">
        <f t="shared" si="6"/>
        <v>D</v>
      </c>
    </row>
    <row r="24" ht="24.75" customHeight="1">
      <c r="A24" s="231">
        <v>18.0</v>
      </c>
      <c r="B24" s="232"/>
      <c r="C24" s="223">
        <f>'VI-LP-1'!AB26</f>
        <v>0</v>
      </c>
      <c r="D24" s="224">
        <f>'VI-LP-2'!AB26</f>
        <v>0</v>
      </c>
      <c r="E24" s="224">
        <f>'VI-LP-3'!AB26</f>
        <v>0</v>
      </c>
      <c r="F24" s="224">
        <f>'VI-LP-4'!AB26</f>
        <v>0</v>
      </c>
      <c r="G24" s="224">
        <f>'VI-LP-5'!AB26</f>
        <v>0</v>
      </c>
      <c r="H24" s="224">
        <f>'VI-LP-6'!AB26</f>
        <v>0</v>
      </c>
      <c r="I24" s="224">
        <f>'VI-LP-7'!AB26</f>
        <v>0</v>
      </c>
      <c r="J24" s="224">
        <f>'VI-LP-8'!AB26</f>
        <v>0</v>
      </c>
      <c r="K24" s="224">
        <f>'VI-LP-9'!AB26</f>
        <v>0</v>
      </c>
      <c r="L24" s="224">
        <f>'VI-LP-10'!AB26</f>
        <v>0</v>
      </c>
      <c r="M24" s="224">
        <f>'VI-LP-11'!AB26</f>
        <v>0</v>
      </c>
      <c r="N24" s="224">
        <f>'VI-LP-12'!AB26</f>
        <v>0</v>
      </c>
      <c r="O24" s="224">
        <f>'VI-LP-13'!AB26</f>
        <v>0</v>
      </c>
      <c r="P24" s="224">
        <f>'VI-LP-14'!AB26</f>
        <v>0</v>
      </c>
      <c r="Q24" s="224">
        <f>'VI-LP-15'!AB26</f>
        <v>0</v>
      </c>
      <c r="R24" s="224">
        <f>'VI-LP-16'!AB26</f>
        <v>0</v>
      </c>
      <c r="S24" s="225">
        <f t="shared" si="1"/>
        <v>0</v>
      </c>
      <c r="T24" s="226">
        <f t="shared" si="3"/>
        <v>0</v>
      </c>
      <c r="U24" s="227" t="str">
        <f t="shared" si="4"/>
        <v>D</v>
      </c>
      <c r="V24" s="228">
        <f>'VI-LP-17'!AB26</f>
        <v>0</v>
      </c>
      <c r="W24" s="229">
        <f>'VI-LP-18'!AB26</f>
        <v>0</v>
      </c>
      <c r="X24" s="229">
        <f>'VI-LP-19'!AA26</f>
        <v>0</v>
      </c>
      <c r="Y24" s="229">
        <f>'VI-LP-20'!AB26</f>
        <v>0</v>
      </c>
      <c r="Z24" s="229">
        <f>'VI-LP-21'!AB26</f>
        <v>0</v>
      </c>
      <c r="AA24" s="229">
        <f>'VI-LP-22'!AB26</f>
        <v>0</v>
      </c>
      <c r="AB24" s="229">
        <f>'VI-LP-23'!AB26</f>
        <v>0</v>
      </c>
      <c r="AC24" s="229">
        <f>'VI-LP-24'!AB26</f>
        <v>0</v>
      </c>
      <c r="AD24" s="229">
        <f>'VI-LP-25'!AB26</f>
        <v>0</v>
      </c>
      <c r="AE24" s="229">
        <f>'VI-LP-26'!AB26</f>
        <v>0</v>
      </c>
      <c r="AF24" s="230">
        <f>'VI-LP-27'!AB26</f>
        <v>0</v>
      </c>
      <c r="AG24" s="229">
        <f>'VI-LP-28'!AB26</f>
        <v>0</v>
      </c>
      <c r="AH24" s="229">
        <f>'VI-LP-29'!AB26</f>
        <v>0</v>
      </c>
      <c r="AI24" s="229">
        <f>'VI-LP-30'!AB26</f>
        <v>0</v>
      </c>
      <c r="AJ24" s="229">
        <f>'VI-LP-31'!AB26</f>
        <v>0</v>
      </c>
      <c r="AK24" s="229">
        <f>'VI-LP-32'!AB26</f>
        <v>0</v>
      </c>
      <c r="AL24" s="225">
        <f t="shared" si="2"/>
        <v>0</v>
      </c>
      <c r="AM24" s="226">
        <f t="shared" si="5"/>
        <v>0</v>
      </c>
      <c r="AN24" s="227" t="str">
        <f t="shared" si="6"/>
        <v>D</v>
      </c>
    </row>
    <row r="25" ht="24.75" customHeight="1">
      <c r="A25" s="231">
        <v>19.0</v>
      </c>
      <c r="B25" s="232"/>
      <c r="C25" s="223">
        <f>'VI-LP-1'!AB27</f>
        <v>0</v>
      </c>
      <c r="D25" s="224">
        <f>'VI-LP-2'!AB27</f>
        <v>0</v>
      </c>
      <c r="E25" s="224">
        <f>'VI-LP-3'!AB27</f>
        <v>0</v>
      </c>
      <c r="F25" s="224">
        <f>'VI-LP-4'!AB27</f>
        <v>0</v>
      </c>
      <c r="G25" s="224">
        <f>'VI-LP-5'!AB27</f>
        <v>0</v>
      </c>
      <c r="H25" s="224">
        <f>'VI-LP-6'!AB27</f>
        <v>0</v>
      </c>
      <c r="I25" s="224">
        <f>'VI-LP-7'!AB27</f>
        <v>0</v>
      </c>
      <c r="J25" s="224">
        <f>'VI-LP-8'!AB27</f>
        <v>0</v>
      </c>
      <c r="K25" s="224">
        <f>'VI-LP-9'!AB27</f>
        <v>0</v>
      </c>
      <c r="L25" s="224">
        <f>'VI-LP-10'!AB27</f>
        <v>0</v>
      </c>
      <c r="M25" s="224">
        <f>'VI-LP-11'!AB27</f>
        <v>0</v>
      </c>
      <c r="N25" s="224">
        <f>'VI-LP-12'!AB27</f>
        <v>0</v>
      </c>
      <c r="O25" s="224">
        <f>'VI-LP-13'!AB27</f>
        <v>0</v>
      </c>
      <c r="P25" s="224">
        <f>'VI-LP-14'!AB27</f>
        <v>0</v>
      </c>
      <c r="Q25" s="224">
        <f>'VI-LP-15'!AB27</f>
        <v>0</v>
      </c>
      <c r="R25" s="224">
        <f>'VI-LP-16'!AB27</f>
        <v>0</v>
      </c>
      <c r="S25" s="225">
        <f t="shared" si="1"/>
        <v>0</v>
      </c>
      <c r="T25" s="226">
        <f t="shared" si="3"/>
        <v>0</v>
      </c>
      <c r="U25" s="227" t="str">
        <f t="shared" si="4"/>
        <v>D</v>
      </c>
      <c r="V25" s="228">
        <f>'VI-LP-17'!AB27</f>
        <v>0</v>
      </c>
      <c r="W25" s="229">
        <f>'VI-LP-18'!AB27</f>
        <v>0</v>
      </c>
      <c r="X25" s="229">
        <f>'VI-LP-19'!AA27</f>
        <v>0</v>
      </c>
      <c r="Y25" s="229">
        <f>'VI-LP-20'!AB27</f>
        <v>0</v>
      </c>
      <c r="Z25" s="229">
        <f>'VI-LP-21'!AB27</f>
        <v>0</v>
      </c>
      <c r="AA25" s="229">
        <f>'VI-LP-22'!AB27</f>
        <v>0</v>
      </c>
      <c r="AB25" s="229">
        <f>'VI-LP-23'!AB27</f>
        <v>0</v>
      </c>
      <c r="AC25" s="229">
        <f>'VI-LP-24'!AB27</f>
        <v>0</v>
      </c>
      <c r="AD25" s="229">
        <f>'VI-LP-25'!AB27</f>
        <v>0</v>
      </c>
      <c r="AE25" s="229">
        <f>'VI-LP-26'!AB27</f>
        <v>0</v>
      </c>
      <c r="AF25" s="230">
        <f>'VI-LP-27'!AB27</f>
        <v>0</v>
      </c>
      <c r="AG25" s="229">
        <f>'VI-LP-28'!AB27</f>
        <v>0</v>
      </c>
      <c r="AH25" s="229">
        <f>'VI-LP-29'!AB27</f>
        <v>0</v>
      </c>
      <c r="AI25" s="229">
        <f>'VI-LP-30'!AB27</f>
        <v>0</v>
      </c>
      <c r="AJ25" s="229">
        <f>'VI-LP-31'!AB27</f>
        <v>0</v>
      </c>
      <c r="AK25" s="229">
        <f>'VI-LP-32'!AB27</f>
        <v>0</v>
      </c>
      <c r="AL25" s="225">
        <f t="shared" si="2"/>
        <v>0</v>
      </c>
      <c r="AM25" s="226">
        <f t="shared" si="5"/>
        <v>0</v>
      </c>
      <c r="AN25" s="227" t="str">
        <f t="shared" si="6"/>
        <v>D</v>
      </c>
    </row>
    <row r="26" ht="24.75" customHeight="1">
      <c r="A26" s="231">
        <v>20.0</v>
      </c>
      <c r="B26" s="232"/>
      <c r="C26" s="223">
        <f>'VI-LP-1'!AB28</f>
        <v>0</v>
      </c>
      <c r="D26" s="224">
        <f>'VI-LP-2'!AB28</f>
        <v>0</v>
      </c>
      <c r="E26" s="224">
        <f>'VI-LP-3'!AB28</f>
        <v>0</v>
      </c>
      <c r="F26" s="224">
        <f>'VI-LP-4'!AB28</f>
        <v>0</v>
      </c>
      <c r="G26" s="224">
        <f>'VI-LP-5'!AB28</f>
        <v>0</v>
      </c>
      <c r="H26" s="224">
        <f>'VI-LP-6'!AB28</f>
        <v>0</v>
      </c>
      <c r="I26" s="224">
        <f>'VI-LP-7'!AB28</f>
        <v>0</v>
      </c>
      <c r="J26" s="224">
        <f>'VI-LP-8'!AB28</f>
        <v>0</v>
      </c>
      <c r="K26" s="224">
        <f>'VI-LP-9'!AB28</f>
        <v>0</v>
      </c>
      <c r="L26" s="224">
        <f>'VI-LP-10'!AB28</f>
        <v>0</v>
      </c>
      <c r="M26" s="224">
        <f>'VI-LP-11'!AB28</f>
        <v>0</v>
      </c>
      <c r="N26" s="224">
        <f>'VI-LP-12'!AB28</f>
        <v>0</v>
      </c>
      <c r="O26" s="224">
        <f>'VI-LP-13'!AB28</f>
        <v>0</v>
      </c>
      <c r="P26" s="224">
        <f>'VI-LP-14'!AB28</f>
        <v>0</v>
      </c>
      <c r="Q26" s="224">
        <f>'VI-LP-15'!AB28</f>
        <v>0</v>
      </c>
      <c r="R26" s="224">
        <f>'VI-LP-16'!AB28</f>
        <v>0</v>
      </c>
      <c r="S26" s="225">
        <f t="shared" si="1"/>
        <v>0</v>
      </c>
      <c r="T26" s="226">
        <f t="shared" si="3"/>
        <v>0</v>
      </c>
      <c r="U26" s="227" t="str">
        <f t="shared" si="4"/>
        <v>D</v>
      </c>
      <c r="V26" s="228">
        <f>'VI-LP-17'!AB28</f>
        <v>0</v>
      </c>
      <c r="W26" s="229">
        <f>'VI-LP-18'!AB28</f>
        <v>0</v>
      </c>
      <c r="X26" s="229">
        <f>'VI-LP-19'!AA28</f>
        <v>0</v>
      </c>
      <c r="Y26" s="229">
        <f>'VI-LP-20'!AB28</f>
        <v>0</v>
      </c>
      <c r="Z26" s="229">
        <f>'VI-LP-21'!AB28</f>
        <v>0</v>
      </c>
      <c r="AA26" s="229">
        <f>'VI-LP-22'!AB28</f>
        <v>0</v>
      </c>
      <c r="AB26" s="229">
        <f>'VI-LP-23'!AB28</f>
        <v>0</v>
      </c>
      <c r="AC26" s="229">
        <f>'VI-LP-24'!AB28</f>
        <v>0</v>
      </c>
      <c r="AD26" s="229">
        <f>'VI-LP-25'!AB28</f>
        <v>0</v>
      </c>
      <c r="AE26" s="229">
        <f>'VI-LP-26'!AB28</f>
        <v>0</v>
      </c>
      <c r="AF26" s="230">
        <f>'VI-LP-27'!AB28</f>
        <v>0</v>
      </c>
      <c r="AG26" s="229">
        <f>'VI-LP-28'!AB28</f>
        <v>0</v>
      </c>
      <c r="AH26" s="229">
        <f>'VI-LP-29'!AB28</f>
        <v>0</v>
      </c>
      <c r="AI26" s="229">
        <f>'VI-LP-30'!AB28</f>
        <v>0</v>
      </c>
      <c r="AJ26" s="229">
        <f>'VI-LP-31'!AB28</f>
        <v>0</v>
      </c>
      <c r="AK26" s="229">
        <f>'VI-LP-32'!AB28</f>
        <v>0</v>
      </c>
      <c r="AL26" s="225">
        <f t="shared" si="2"/>
        <v>0</v>
      </c>
      <c r="AM26" s="226">
        <f t="shared" si="5"/>
        <v>0</v>
      </c>
      <c r="AN26" s="227" t="str">
        <f t="shared" si="6"/>
        <v>D</v>
      </c>
    </row>
    <row r="27" ht="24.75" customHeight="1">
      <c r="A27" s="231">
        <v>21.0</v>
      </c>
      <c r="B27" s="232"/>
      <c r="C27" s="223">
        <f>'VI-LP-1'!AB29</f>
        <v>0</v>
      </c>
      <c r="D27" s="224">
        <f>'VI-LP-2'!AB29</f>
        <v>0</v>
      </c>
      <c r="E27" s="224">
        <f>'VI-LP-3'!AB29</f>
        <v>0</v>
      </c>
      <c r="F27" s="224">
        <f>'VI-LP-4'!AB29</f>
        <v>0</v>
      </c>
      <c r="G27" s="224">
        <f>'VI-LP-5'!AB29</f>
        <v>0</v>
      </c>
      <c r="H27" s="224">
        <f>'VI-LP-6'!AB29</f>
        <v>0</v>
      </c>
      <c r="I27" s="224">
        <f>'VI-LP-7'!AB29</f>
        <v>0</v>
      </c>
      <c r="J27" s="224">
        <f>'VI-LP-8'!AB29</f>
        <v>0</v>
      </c>
      <c r="K27" s="224">
        <f>'VI-LP-9'!AB29</f>
        <v>0</v>
      </c>
      <c r="L27" s="224">
        <f>'VI-LP-10'!AB29</f>
        <v>0</v>
      </c>
      <c r="M27" s="224">
        <f>'VI-LP-11'!AB29</f>
        <v>0</v>
      </c>
      <c r="N27" s="224">
        <f>'VI-LP-12'!AB29</f>
        <v>0</v>
      </c>
      <c r="O27" s="224">
        <f>'VI-LP-13'!AB29</f>
        <v>0</v>
      </c>
      <c r="P27" s="224">
        <f>'VI-LP-14'!AB29</f>
        <v>0</v>
      </c>
      <c r="Q27" s="224">
        <f>'VI-LP-15'!AB29</f>
        <v>0</v>
      </c>
      <c r="R27" s="224">
        <f>'VI-LP-16'!AB29</f>
        <v>0</v>
      </c>
      <c r="S27" s="225">
        <f t="shared" si="1"/>
        <v>0</v>
      </c>
      <c r="T27" s="226">
        <f t="shared" si="3"/>
        <v>0</v>
      </c>
      <c r="U27" s="227" t="str">
        <f t="shared" si="4"/>
        <v>D</v>
      </c>
      <c r="V27" s="228">
        <f>'VI-LP-17'!AB29</f>
        <v>0</v>
      </c>
      <c r="W27" s="229">
        <f>'VI-LP-18'!AB29</f>
        <v>0</v>
      </c>
      <c r="X27" s="229">
        <f>'VI-LP-19'!AA29</f>
        <v>0</v>
      </c>
      <c r="Y27" s="229">
        <f>'VI-LP-20'!AB29</f>
        <v>0</v>
      </c>
      <c r="Z27" s="229">
        <f>'VI-LP-21'!AB29</f>
        <v>0</v>
      </c>
      <c r="AA27" s="229">
        <f>'VI-LP-22'!AB29</f>
        <v>0</v>
      </c>
      <c r="AB27" s="229">
        <f>'VI-LP-23'!AB29</f>
        <v>0</v>
      </c>
      <c r="AC27" s="229">
        <f>'VI-LP-24'!AB29</f>
        <v>0</v>
      </c>
      <c r="AD27" s="229">
        <f>'VI-LP-25'!AB29</f>
        <v>0</v>
      </c>
      <c r="AE27" s="229">
        <f>'VI-LP-26'!AB29</f>
        <v>0</v>
      </c>
      <c r="AF27" s="230">
        <f>'VI-LP-27'!AB29</f>
        <v>0</v>
      </c>
      <c r="AG27" s="229">
        <f>'VI-LP-28'!AB29</f>
        <v>0</v>
      </c>
      <c r="AH27" s="229">
        <f>'VI-LP-29'!AB29</f>
        <v>0</v>
      </c>
      <c r="AI27" s="229">
        <f>'VI-LP-30'!AB29</f>
        <v>0</v>
      </c>
      <c r="AJ27" s="229">
        <f>'VI-LP-31'!AB29</f>
        <v>0</v>
      </c>
      <c r="AK27" s="229">
        <f>'VI-LP-32'!AB29</f>
        <v>0</v>
      </c>
      <c r="AL27" s="225">
        <f t="shared" si="2"/>
        <v>0</v>
      </c>
      <c r="AM27" s="226">
        <f t="shared" si="5"/>
        <v>0</v>
      </c>
      <c r="AN27" s="227" t="str">
        <f t="shared" si="6"/>
        <v>D</v>
      </c>
    </row>
    <row r="28" ht="24.75" customHeight="1">
      <c r="A28" s="231">
        <v>22.0</v>
      </c>
      <c r="B28" s="232"/>
      <c r="C28" s="223">
        <f>'VI-LP-1'!AB30</f>
        <v>0</v>
      </c>
      <c r="D28" s="224">
        <f>'VI-LP-2'!AB30</f>
        <v>0</v>
      </c>
      <c r="E28" s="224">
        <f>'VI-LP-3'!AB30</f>
        <v>0</v>
      </c>
      <c r="F28" s="224">
        <f>'VI-LP-4'!AB30</f>
        <v>0</v>
      </c>
      <c r="G28" s="224">
        <f>'VI-LP-5'!AB30</f>
        <v>0</v>
      </c>
      <c r="H28" s="224">
        <f>'VI-LP-6'!AB30</f>
        <v>0</v>
      </c>
      <c r="I28" s="224">
        <f>'VI-LP-7'!AB30</f>
        <v>0</v>
      </c>
      <c r="J28" s="224">
        <f>'VI-LP-8'!AB30</f>
        <v>0</v>
      </c>
      <c r="K28" s="224">
        <f>'VI-LP-9'!AB30</f>
        <v>0</v>
      </c>
      <c r="L28" s="224">
        <f>'VI-LP-10'!AB30</f>
        <v>0</v>
      </c>
      <c r="M28" s="224">
        <f>'VI-LP-11'!AB30</f>
        <v>0</v>
      </c>
      <c r="N28" s="224">
        <f>'VI-LP-12'!AB30</f>
        <v>0</v>
      </c>
      <c r="O28" s="224">
        <f>'VI-LP-13'!AB30</f>
        <v>0</v>
      </c>
      <c r="P28" s="224">
        <f>'VI-LP-14'!AB30</f>
        <v>0</v>
      </c>
      <c r="Q28" s="224">
        <f>'VI-LP-15'!AB30</f>
        <v>0</v>
      </c>
      <c r="R28" s="224">
        <f>'VI-LP-16'!AB30</f>
        <v>0</v>
      </c>
      <c r="S28" s="225">
        <f t="shared" si="1"/>
        <v>0</v>
      </c>
      <c r="T28" s="226">
        <f t="shared" si="3"/>
        <v>0</v>
      </c>
      <c r="U28" s="227" t="str">
        <f t="shared" si="4"/>
        <v>D</v>
      </c>
      <c r="V28" s="228">
        <f>'VI-LP-17'!AB30</f>
        <v>0</v>
      </c>
      <c r="W28" s="229">
        <f>'VI-LP-18'!AB30</f>
        <v>0</v>
      </c>
      <c r="X28" s="229">
        <f>'VI-LP-19'!AA30</f>
        <v>0</v>
      </c>
      <c r="Y28" s="229">
        <f>'VI-LP-20'!AB30</f>
        <v>0</v>
      </c>
      <c r="Z28" s="229">
        <f>'VI-LP-21'!AB30</f>
        <v>0</v>
      </c>
      <c r="AA28" s="229">
        <f>'VI-LP-22'!AB30</f>
        <v>0</v>
      </c>
      <c r="AB28" s="229">
        <f>'VI-LP-23'!AB30</f>
        <v>0</v>
      </c>
      <c r="AC28" s="229">
        <f>'VI-LP-24'!AB30</f>
        <v>0</v>
      </c>
      <c r="AD28" s="229">
        <f>'VI-LP-25'!AB30</f>
        <v>0</v>
      </c>
      <c r="AE28" s="229">
        <f>'VI-LP-26'!AB30</f>
        <v>0</v>
      </c>
      <c r="AF28" s="230">
        <f>'VI-LP-27'!AB30</f>
        <v>0</v>
      </c>
      <c r="AG28" s="229">
        <f>'VI-LP-28'!AB30</f>
        <v>0</v>
      </c>
      <c r="AH28" s="229">
        <f>'VI-LP-29'!AB30</f>
        <v>0</v>
      </c>
      <c r="AI28" s="229">
        <f>'VI-LP-30'!AB30</f>
        <v>0</v>
      </c>
      <c r="AJ28" s="229">
        <f>'VI-LP-31'!AB30</f>
        <v>0</v>
      </c>
      <c r="AK28" s="229">
        <f>'VI-LP-32'!AB30</f>
        <v>0</v>
      </c>
      <c r="AL28" s="225">
        <f t="shared" si="2"/>
        <v>0</v>
      </c>
      <c r="AM28" s="226">
        <f t="shared" si="5"/>
        <v>0</v>
      </c>
      <c r="AN28" s="227" t="str">
        <f t="shared" si="6"/>
        <v>D</v>
      </c>
    </row>
    <row r="29" ht="24.75" customHeight="1">
      <c r="A29" s="231">
        <v>23.0</v>
      </c>
      <c r="B29" s="232"/>
      <c r="C29" s="223">
        <f>'VI-LP-1'!AB31</f>
        <v>0</v>
      </c>
      <c r="D29" s="224">
        <f>'VI-LP-2'!AB31</f>
        <v>0</v>
      </c>
      <c r="E29" s="224">
        <f>'VI-LP-3'!AB31</f>
        <v>0</v>
      </c>
      <c r="F29" s="224">
        <f>'VI-LP-4'!AB31</f>
        <v>0</v>
      </c>
      <c r="G29" s="224">
        <f>'VI-LP-5'!AB31</f>
        <v>0</v>
      </c>
      <c r="H29" s="224">
        <f>'VI-LP-6'!AB31</f>
        <v>0</v>
      </c>
      <c r="I29" s="224">
        <f>'VI-LP-7'!AB31</f>
        <v>0</v>
      </c>
      <c r="J29" s="224">
        <f>'VI-LP-8'!AB31</f>
        <v>0</v>
      </c>
      <c r="K29" s="224">
        <f>'VI-LP-9'!AB31</f>
        <v>0</v>
      </c>
      <c r="L29" s="224">
        <f>'VI-LP-10'!AB31</f>
        <v>0</v>
      </c>
      <c r="M29" s="224">
        <f>'VI-LP-11'!AB31</f>
        <v>0</v>
      </c>
      <c r="N29" s="224">
        <f>'VI-LP-12'!AB31</f>
        <v>0</v>
      </c>
      <c r="O29" s="224">
        <f>'VI-LP-13'!AB31</f>
        <v>0</v>
      </c>
      <c r="P29" s="224">
        <f>'VI-LP-14'!AB31</f>
        <v>0</v>
      </c>
      <c r="Q29" s="224">
        <f>'VI-LP-15'!AB31</f>
        <v>0</v>
      </c>
      <c r="R29" s="224">
        <f>'VI-LP-16'!AB31</f>
        <v>0</v>
      </c>
      <c r="S29" s="225">
        <f t="shared" si="1"/>
        <v>0</v>
      </c>
      <c r="T29" s="226">
        <f t="shared" si="3"/>
        <v>0</v>
      </c>
      <c r="U29" s="227" t="str">
        <f t="shared" si="4"/>
        <v>D</v>
      </c>
      <c r="V29" s="228">
        <f>'VI-LP-17'!AB31</f>
        <v>0</v>
      </c>
      <c r="W29" s="229">
        <f>'VI-LP-18'!AB31</f>
        <v>0</v>
      </c>
      <c r="X29" s="229">
        <f>'VI-LP-19'!AA31</f>
        <v>0</v>
      </c>
      <c r="Y29" s="229">
        <f>'VI-LP-20'!AB31</f>
        <v>0</v>
      </c>
      <c r="Z29" s="229">
        <f>'VI-LP-21'!AB31</f>
        <v>0</v>
      </c>
      <c r="AA29" s="229">
        <f>'VI-LP-22'!AB31</f>
        <v>0</v>
      </c>
      <c r="AB29" s="229">
        <f>'VI-LP-23'!AB31</f>
        <v>0</v>
      </c>
      <c r="AC29" s="229">
        <f>'VI-LP-24'!AB31</f>
        <v>0</v>
      </c>
      <c r="AD29" s="229">
        <f>'VI-LP-25'!AB31</f>
        <v>0</v>
      </c>
      <c r="AE29" s="229">
        <f>'VI-LP-26'!AB31</f>
        <v>0</v>
      </c>
      <c r="AF29" s="230">
        <f>'VI-LP-27'!AB31</f>
        <v>0</v>
      </c>
      <c r="AG29" s="229">
        <f>'VI-LP-28'!AB31</f>
        <v>0</v>
      </c>
      <c r="AH29" s="229">
        <f>'VI-LP-29'!AB31</f>
        <v>0</v>
      </c>
      <c r="AI29" s="229">
        <f>'VI-LP-30'!AB31</f>
        <v>0</v>
      </c>
      <c r="AJ29" s="229">
        <f>'VI-LP-31'!AB31</f>
        <v>0</v>
      </c>
      <c r="AK29" s="229">
        <f>'VI-LP-32'!AB31</f>
        <v>0</v>
      </c>
      <c r="AL29" s="225">
        <f t="shared" si="2"/>
        <v>0</v>
      </c>
      <c r="AM29" s="226">
        <f t="shared" si="5"/>
        <v>0</v>
      </c>
      <c r="AN29" s="227" t="str">
        <f t="shared" si="6"/>
        <v>D</v>
      </c>
    </row>
    <row r="30" ht="24.75" customHeight="1">
      <c r="A30" s="231">
        <v>24.0</v>
      </c>
      <c r="B30" s="232"/>
      <c r="C30" s="223">
        <f>'VI-LP-1'!AB32</f>
        <v>0</v>
      </c>
      <c r="D30" s="224">
        <f>'VI-LP-2'!AB32</f>
        <v>0</v>
      </c>
      <c r="E30" s="224">
        <f>'VI-LP-3'!AB32</f>
        <v>0</v>
      </c>
      <c r="F30" s="224">
        <f>'VI-LP-4'!AB32</f>
        <v>0</v>
      </c>
      <c r="G30" s="224">
        <f>'VI-LP-5'!AB32</f>
        <v>0</v>
      </c>
      <c r="H30" s="224">
        <f>'VI-LP-6'!AB32</f>
        <v>0</v>
      </c>
      <c r="I30" s="224">
        <f>'VI-LP-7'!AB32</f>
        <v>0</v>
      </c>
      <c r="J30" s="224">
        <f>'VI-LP-8'!AB32</f>
        <v>0</v>
      </c>
      <c r="K30" s="224">
        <f>'VI-LP-9'!AB32</f>
        <v>0</v>
      </c>
      <c r="L30" s="224">
        <f>'VI-LP-10'!AB32</f>
        <v>0</v>
      </c>
      <c r="M30" s="224">
        <f>'VI-LP-11'!AB32</f>
        <v>0</v>
      </c>
      <c r="N30" s="224">
        <f>'VI-LP-12'!AB32</f>
        <v>0</v>
      </c>
      <c r="O30" s="224">
        <f>'VI-LP-13'!AB32</f>
        <v>0</v>
      </c>
      <c r="P30" s="224">
        <f>'VI-LP-14'!AB32</f>
        <v>0</v>
      </c>
      <c r="Q30" s="224">
        <f>'VI-LP-15'!AB32</f>
        <v>0</v>
      </c>
      <c r="R30" s="224">
        <f>'VI-LP-16'!AB32</f>
        <v>0</v>
      </c>
      <c r="S30" s="225">
        <f t="shared" si="1"/>
        <v>0</v>
      </c>
      <c r="T30" s="226">
        <f t="shared" si="3"/>
        <v>0</v>
      </c>
      <c r="U30" s="227" t="str">
        <f t="shared" si="4"/>
        <v>D</v>
      </c>
      <c r="V30" s="228">
        <f>'VI-LP-17'!AB32</f>
        <v>0</v>
      </c>
      <c r="W30" s="229">
        <f>'VI-LP-18'!AB32</f>
        <v>0</v>
      </c>
      <c r="X30" s="229">
        <f>'VI-LP-19'!AA32</f>
        <v>0</v>
      </c>
      <c r="Y30" s="229">
        <f>'VI-LP-20'!AB32</f>
        <v>0</v>
      </c>
      <c r="Z30" s="229">
        <f>'VI-LP-21'!AB32</f>
        <v>0</v>
      </c>
      <c r="AA30" s="229">
        <f>'VI-LP-22'!AB32</f>
        <v>0</v>
      </c>
      <c r="AB30" s="229">
        <f>'VI-LP-23'!AB32</f>
        <v>0</v>
      </c>
      <c r="AC30" s="229">
        <f>'VI-LP-24'!AB32</f>
        <v>0</v>
      </c>
      <c r="AD30" s="229">
        <f>'VI-LP-25'!AB32</f>
        <v>0</v>
      </c>
      <c r="AE30" s="229">
        <f>'VI-LP-26'!AB32</f>
        <v>0</v>
      </c>
      <c r="AF30" s="230">
        <f>'VI-LP-27'!AB32</f>
        <v>0</v>
      </c>
      <c r="AG30" s="229">
        <f>'VI-LP-28'!AB32</f>
        <v>0</v>
      </c>
      <c r="AH30" s="229">
        <f>'VI-LP-29'!AB32</f>
        <v>0</v>
      </c>
      <c r="AI30" s="229">
        <f>'VI-LP-30'!AB32</f>
        <v>0</v>
      </c>
      <c r="AJ30" s="229">
        <f>'VI-LP-31'!AB32</f>
        <v>0</v>
      </c>
      <c r="AK30" s="229">
        <f>'VI-LP-32'!AB32</f>
        <v>0</v>
      </c>
      <c r="AL30" s="225">
        <f t="shared" si="2"/>
        <v>0</v>
      </c>
      <c r="AM30" s="226">
        <f t="shared" si="5"/>
        <v>0</v>
      </c>
      <c r="AN30" s="227" t="str">
        <f t="shared" si="6"/>
        <v>D</v>
      </c>
    </row>
    <row r="31" ht="24.75" customHeight="1">
      <c r="A31" s="231">
        <v>25.0</v>
      </c>
      <c r="B31" s="232"/>
      <c r="C31" s="223">
        <f>'VI-LP-1'!AB33</f>
        <v>0</v>
      </c>
      <c r="D31" s="224">
        <f>'VI-LP-2'!AB33</f>
        <v>0</v>
      </c>
      <c r="E31" s="224">
        <f>'VI-LP-3'!AB33</f>
        <v>0</v>
      </c>
      <c r="F31" s="224">
        <f>'VI-LP-4'!AB33</f>
        <v>0</v>
      </c>
      <c r="G31" s="224">
        <f>'VI-LP-5'!AB33</f>
        <v>0</v>
      </c>
      <c r="H31" s="224">
        <f>'VI-LP-6'!AB33</f>
        <v>0</v>
      </c>
      <c r="I31" s="224">
        <f>'VI-LP-7'!AB33</f>
        <v>0</v>
      </c>
      <c r="J31" s="224">
        <f>'VI-LP-8'!AB33</f>
        <v>0</v>
      </c>
      <c r="K31" s="224">
        <f>'VI-LP-9'!AB33</f>
        <v>0</v>
      </c>
      <c r="L31" s="224">
        <f>'VI-LP-10'!AB33</f>
        <v>0</v>
      </c>
      <c r="M31" s="224">
        <f>'VI-LP-11'!AB33</f>
        <v>0</v>
      </c>
      <c r="N31" s="224">
        <f>'VI-LP-12'!AB33</f>
        <v>0</v>
      </c>
      <c r="O31" s="224">
        <f>'VI-LP-13'!AB33</f>
        <v>0</v>
      </c>
      <c r="P31" s="224">
        <f>'VI-LP-14'!AB33</f>
        <v>0</v>
      </c>
      <c r="Q31" s="224">
        <f>'VI-LP-15'!AB33</f>
        <v>0</v>
      </c>
      <c r="R31" s="224">
        <f>'VI-LP-16'!AB33</f>
        <v>0</v>
      </c>
      <c r="S31" s="225">
        <f t="shared" si="1"/>
        <v>0</v>
      </c>
      <c r="T31" s="226">
        <f t="shared" si="3"/>
        <v>0</v>
      </c>
      <c r="U31" s="227" t="str">
        <f t="shared" si="4"/>
        <v>D</v>
      </c>
      <c r="V31" s="228">
        <f>'VI-LP-17'!AB33</f>
        <v>0</v>
      </c>
      <c r="W31" s="229">
        <f>'VI-LP-18'!AB33</f>
        <v>0</v>
      </c>
      <c r="X31" s="229">
        <f>'VI-LP-19'!AA33</f>
        <v>0</v>
      </c>
      <c r="Y31" s="229">
        <f>'VI-LP-20'!AB33</f>
        <v>0</v>
      </c>
      <c r="Z31" s="229">
        <f>'VI-LP-21'!AB33</f>
        <v>0</v>
      </c>
      <c r="AA31" s="229">
        <f>'VI-LP-22'!AB33</f>
        <v>0</v>
      </c>
      <c r="AB31" s="229">
        <f>'VI-LP-23'!AB33</f>
        <v>0</v>
      </c>
      <c r="AC31" s="229">
        <f>'VI-LP-24'!AB33</f>
        <v>0</v>
      </c>
      <c r="AD31" s="229">
        <f>'VI-LP-25'!AB33</f>
        <v>0</v>
      </c>
      <c r="AE31" s="229">
        <f>'VI-LP-26'!AB33</f>
        <v>0</v>
      </c>
      <c r="AF31" s="230">
        <f>'VI-LP-27'!AB33</f>
        <v>0</v>
      </c>
      <c r="AG31" s="229">
        <f>'VI-LP-28'!AB33</f>
        <v>0</v>
      </c>
      <c r="AH31" s="229">
        <f>'VI-LP-29'!AB33</f>
        <v>0</v>
      </c>
      <c r="AI31" s="229">
        <f>'VI-LP-30'!AB33</f>
        <v>0</v>
      </c>
      <c r="AJ31" s="229">
        <f>'VI-LP-31'!AB33</f>
        <v>0</v>
      </c>
      <c r="AK31" s="229">
        <f>'VI-LP-32'!AB33</f>
        <v>0</v>
      </c>
      <c r="AL31" s="225">
        <f t="shared" si="2"/>
        <v>0</v>
      </c>
      <c r="AM31" s="226">
        <f t="shared" si="5"/>
        <v>0</v>
      </c>
      <c r="AN31" s="227" t="str">
        <f t="shared" si="6"/>
        <v>D</v>
      </c>
    </row>
    <row r="32" ht="24.75" customHeight="1">
      <c r="A32" s="231">
        <v>26.0</v>
      </c>
      <c r="B32" s="232"/>
      <c r="C32" s="223">
        <f>'VI-LP-1'!AB34</f>
        <v>0</v>
      </c>
      <c r="D32" s="224">
        <f>'VI-LP-2'!AB34</f>
        <v>0</v>
      </c>
      <c r="E32" s="224">
        <f>'VI-LP-3'!AB34</f>
        <v>0</v>
      </c>
      <c r="F32" s="224">
        <f>'VI-LP-4'!AB34</f>
        <v>0</v>
      </c>
      <c r="G32" s="224">
        <f>'VI-LP-5'!AB34</f>
        <v>0</v>
      </c>
      <c r="H32" s="224">
        <f>'VI-LP-6'!AB34</f>
        <v>0</v>
      </c>
      <c r="I32" s="224">
        <f>'VI-LP-7'!AB34</f>
        <v>0</v>
      </c>
      <c r="J32" s="224">
        <f>'VI-LP-8'!AB34</f>
        <v>0</v>
      </c>
      <c r="K32" s="224">
        <f>'VI-LP-9'!AB34</f>
        <v>0</v>
      </c>
      <c r="L32" s="224">
        <f>'VI-LP-10'!AB34</f>
        <v>0</v>
      </c>
      <c r="M32" s="224">
        <f>'VI-LP-11'!AB34</f>
        <v>0</v>
      </c>
      <c r="N32" s="224">
        <f>'VI-LP-12'!AB34</f>
        <v>0</v>
      </c>
      <c r="O32" s="224">
        <f>'VI-LP-13'!AB34</f>
        <v>0</v>
      </c>
      <c r="P32" s="224">
        <f>'VI-LP-14'!AB34</f>
        <v>0</v>
      </c>
      <c r="Q32" s="224">
        <f>'VI-LP-15'!AB34</f>
        <v>0</v>
      </c>
      <c r="R32" s="224">
        <f>'VI-LP-16'!AB34</f>
        <v>0</v>
      </c>
      <c r="S32" s="225">
        <f t="shared" si="1"/>
        <v>0</v>
      </c>
      <c r="T32" s="226">
        <f t="shared" si="3"/>
        <v>0</v>
      </c>
      <c r="U32" s="227" t="str">
        <f t="shared" si="4"/>
        <v>D</v>
      </c>
      <c r="V32" s="228">
        <f>'VI-LP-17'!AB34</f>
        <v>0</v>
      </c>
      <c r="W32" s="229">
        <f>'VI-LP-18'!AB34</f>
        <v>0</v>
      </c>
      <c r="X32" s="229">
        <f>'VI-LP-19'!AA34</f>
        <v>0</v>
      </c>
      <c r="Y32" s="229">
        <f>'VI-LP-20'!AB34</f>
        <v>0</v>
      </c>
      <c r="Z32" s="229">
        <f>'VI-LP-21'!AB34</f>
        <v>0</v>
      </c>
      <c r="AA32" s="229">
        <f>'VI-LP-22'!AB34</f>
        <v>0</v>
      </c>
      <c r="AB32" s="229">
        <f>'VI-LP-23'!AB34</f>
        <v>0</v>
      </c>
      <c r="AC32" s="229">
        <f>'VI-LP-24'!AB34</f>
        <v>0</v>
      </c>
      <c r="AD32" s="229">
        <f>'VI-LP-25'!AB34</f>
        <v>0</v>
      </c>
      <c r="AE32" s="229">
        <f>'VI-LP-26'!AB34</f>
        <v>0</v>
      </c>
      <c r="AF32" s="230">
        <f>'VI-LP-27'!AB34</f>
        <v>0</v>
      </c>
      <c r="AG32" s="229">
        <f>'VI-LP-28'!AB34</f>
        <v>0</v>
      </c>
      <c r="AH32" s="229">
        <f>'VI-LP-29'!AB34</f>
        <v>0</v>
      </c>
      <c r="AI32" s="229">
        <f>'VI-LP-30'!AB34</f>
        <v>0</v>
      </c>
      <c r="AJ32" s="229">
        <f>'VI-LP-31'!AB34</f>
        <v>0</v>
      </c>
      <c r="AK32" s="229">
        <f>'VI-LP-32'!AB34</f>
        <v>0</v>
      </c>
      <c r="AL32" s="225">
        <f t="shared" si="2"/>
        <v>0</v>
      </c>
      <c r="AM32" s="226">
        <f t="shared" si="5"/>
        <v>0</v>
      </c>
      <c r="AN32" s="227" t="str">
        <f t="shared" si="6"/>
        <v>D</v>
      </c>
    </row>
    <row r="33" ht="24.75" customHeight="1">
      <c r="A33" s="231">
        <v>27.0</v>
      </c>
      <c r="B33" s="232"/>
      <c r="C33" s="223">
        <f>'VI-LP-1'!AB35</f>
        <v>0</v>
      </c>
      <c r="D33" s="224">
        <f>'VI-LP-2'!AB35</f>
        <v>0</v>
      </c>
      <c r="E33" s="224">
        <f>'VI-LP-3'!AB35</f>
        <v>0</v>
      </c>
      <c r="F33" s="224">
        <f>'VI-LP-4'!AB35</f>
        <v>0</v>
      </c>
      <c r="G33" s="224">
        <f>'VI-LP-5'!AB35</f>
        <v>0</v>
      </c>
      <c r="H33" s="224">
        <f>'VI-LP-6'!AB35</f>
        <v>0</v>
      </c>
      <c r="I33" s="224">
        <f>'VI-LP-7'!AB35</f>
        <v>0</v>
      </c>
      <c r="J33" s="224">
        <f>'VI-LP-8'!AB35</f>
        <v>0</v>
      </c>
      <c r="K33" s="224">
        <f>'VI-LP-9'!AB35</f>
        <v>0</v>
      </c>
      <c r="L33" s="224">
        <f>'VI-LP-10'!AB35</f>
        <v>0</v>
      </c>
      <c r="M33" s="224">
        <f>'VI-LP-11'!AB35</f>
        <v>0</v>
      </c>
      <c r="N33" s="224">
        <f>'VI-LP-12'!AB35</f>
        <v>0</v>
      </c>
      <c r="O33" s="224">
        <f>'VI-LP-13'!AB35</f>
        <v>0</v>
      </c>
      <c r="P33" s="224">
        <f>'VI-LP-14'!AB35</f>
        <v>0</v>
      </c>
      <c r="Q33" s="224">
        <f>'VI-LP-15'!AB35</f>
        <v>0</v>
      </c>
      <c r="R33" s="224">
        <f>'VI-LP-16'!AB35</f>
        <v>0</v>
      </c>
      <c r="S33" s="225">
        <f t="shared" si="1"/>
        <v>0</v>
      </c>
      <c r="T33" s="226">
        <f t="shared" si="3"/>
        <v>0</v>
      </c>
      <c r="U33" s="227" t="str">
        <f t="shared" si="4"/>
        <v>D</v>
      </c>
      <c r="V33" s="228">
        <f>'VI-LP-17'!AB35</f>
        <v>0</v>
      </c>
      <c r="W33" s="229">
        <f>'VI-LP-18'!AB35</f>
        <v>0</v>
      </c>
      <c r="X33" s="229">
        <f>'VI-LP-19'!AA35</f>
        <v>0</v>
      </c>
      <c r="Y33" s="229">
        <f>'VI-LP-20'!AB35</f>
        <v>0</v>
      </c>
      <c r="Z33" s="229">
        <f>'VI-LP-21'!AB35</f>
        <v>0</v>
      </c>
      <c r="AA33" s="229">
        <f>'VI-LP-22'!AB35</f>
        <v>0</v>
      </c>
      <c r="AB33" s="229">
        <f>'VI-LP-23'!AB35</f>
        <v>0</v>
      </c>
      <c r="AC33" s="229">
        <f>'VI-LP-24'!AB35</f>
        <v>0</v>
      </c>
      <c r="AD33" s="229">
        <f>'VI-LP-25'!AB35</f>
        <v>0</v>
      </c>
      <c r="AE33" s="229">
        <f>'VI-LP-26'!AB35</f>
        <v>0</v>
      </c>
      <c r="AF33" s="230">
        <f>'VI-LP-27'!AB35</f>
        <v>0</v>
      </c>
      <c r="AG33" s="229">
        <f>'VI-LP-28'!AB35</f>
        <v>0</v>
      </c>
      <c r="AH33" s="229">
        <f>'VI-LP-29'!AB35</f>
        <v>0</v>
      </c>
      <c r="AI33" s="229">
        <f>'VI-LP-30'!AB35</f>
        <v>0</v>
      </c>
      <c r="AJ33" s="229">
        <f>'VI-LP-31'!AB35</f>
        <v>0</v>
      </c>
      <c r="AK33" s="229">
        <f>'VI-LP-32'!AB35</f>
        <v>0</v>
      </c>
      <c r="AL33" s="225">
        <f t="shared" si="2"/>
        <v>0</v>
      </c>
      <c r="AM33" s="226">
        <f t="shared" si="5"/>
        <v>0</v>
      </c>
      <c r="AN33" s="227" t="str">
        <f t="shared" si="6"/>
        <v>D</v>
      </c>
    </row>
    <row r="34" ht="24.75" customHeight="1">
      <c r="A34" s="231">
        <v>28.0</v>
      </c>
      <c r="B34" s="232"/>
      <c r="C34" s="223">
        <f>'VI-LP-1'!AB36</f>
        <v>0</v>
      </c>
      <c r="D34" s="224">
        <f>'VI-LP-2'!AB36</f>
        <v>0</v>
      </c>
      <c r="E34" s="224">
        <f>'VI-LP-3'!AB36</f>
        <v>0</v>
      </c>
      <c r="F34" s="224">
        <f>'VI-LP-4'!AB36</f>
        <v>0</v>
      </c>
      <c r="G34" s="224">
        <f>'VI-LP-5'!AB36</f>
        <v>0</v>
      </c>
      <c r="H34" s="224">
        <f>'VI-LP-6'!AB36</f>
        <v>0</v>
      </c>
      <c r="I34" s="224">
        <f>'VI-LP-7'!AB36</f>
        <v>0</v>
      </c>
      <c r="J34" s="224">
        <f>'VI-LP-8'!AB36</f>
        <v>0</v>
      </c>
      <c r="K34" s="224">
        <f>'VI-LP-9'!AB36</f>
        <v>0</v>
      </c>
      <c r="L34" s="224">
        <f>'VI-LP-10'!AB36</f>
        <v>0</v>
      </c>
      <c r="M34" s="224">
        <f>'VI-LP-11'!AB36</f>
        <v>0</v>
      </c>
      <c r="N34" s="224">
        <f>'VI-LP-12'!AB36</f>
        <v>0</v>
      </c>
      <c r="O34" s="224">
        <f>'VI-LP-13'!AB36</f>
        <v>0</v>
      </c>
      <c r="P34" s="224">
        <f>'VI-LP-14'!AB36</f>
        <v>0</v>
      </c>
      <c r="Q34" s="224">
        <f>'VI-LP-15'!AB36</f>
        <v>0</v>
      </c>
      <c r="R34" s="224">
        <f>'VI-LP-16'!AB36</f>
        <v>0</v>
      </c>
      <c r="S34" s="225">
        <f t="shared" si="1"/>
        <v>0</v>
      </c>
      <c r="T34" s="226">
        <f t="shared" si="3"/>
        <v>0</v>
      </c>
      <c r="U34" s="227" t="str">
        <f t="shared" si="4"/>
        <v>D</v>
      </c>
      <c r="V34" s="228">
        <f>'VI-LP-17'!AB36</f>
        <v>0</v>
      </c>
      <c r="W34" s="229">
        <f>'VI-LP-18'!AB36</f>
        <v>0</v>
      </c>
      <c r="X34" s="229">
        <f>'VI-LP-19'!AA36</f>
        <v>0</v>
      </c>
      <c r="Y34" s="229">
        <f>'VI-LP-20'!AB36</f>
        <v>0</v>
      </c>
      <c r="Z34" s="229">
        <f>'VI-LP-21'!AB36</f>
        <v>0</v>
      </c>
      <c r="AA34" s="229">
        <f>'VI-LP-22'!AB36</f>
        <v>0</v>
      </c>
      <c r="AB34" s="229">
        <f>'VI-LP-23'!AB36</f>
        <v>0</v>
      </c>
      <c r="AC34" s="229">
        <f>'VI-LP-24'!AB36</f>
        <v>0</v>
      </c>
      <c r="AD34" s="229">
        <f>'VI-LP-25'!AB36</f>
        <v>0</v>
      </c>
      <c r="AE34" s="229">
        <f>'VI-LP-26'!AB36</f>
        <v>0</v>
      </c>
      <c r="AF34" s="230">
        <f>'VI-LP-27'!AB36</f>
        <v>0</v>
      </c>
      <c r="AG34" s="229">
        <f>'VI-LP-28'!AB36</f>
        <v>0</v>
      </c>
      <c r="AH34" s="229">
        <f>'VI-LP-29'!AB36</f>
        <v>0</v>
      </c>
      <c r="AI34" s="229">
        <f>'VI-LP-30'!AB36</f>
        <v>0</v>
      </c>
      <c r="AJ34" s="229">
        <f>'VI-LP-31'!AB36</f>
        <v>0</v>
      </c>
      <c r="AK34" s="229">
        <f>'VI-LP-32'!AB36</f>
        <v>0</v>
      </c>
      <c r="AL34" s="225">
        <f t="shared" si="2"/>
        <v>0</v>
      </c>
      <c r="AM34" s="226">
        <f t="shared" si="5"/>
        <v>0</v>
      </c>
      <c r="AN34" s="227" t="str">
        <f t="shared" si="6"/>
        <v>D</v>
      </c>
    </row>
    <row r="35" ht="24.75" customHeight="1">
      <c r="A35" s="231">
        <v>29.0</v>
      </c>
      <c r="B35" s="232"/>
      <c r="C35" s="223">
        <f>'VI-LP-1'!AB37</f>
        <v>0</v>
      </c>
      <c r="D35" s="224">
        <f>'VI-LP-2'!AB37</f>
        <v>0</v>
      </c>
      <c r="E35" s="224">
        <f>'VI-LP-3'!AB37</f>
        <v>0</v>
      </c>
      <c r="F35" s="224">
        <f>'VI-LP-4'!AB37</f>
        <v>0</v>
      </c>
      <c r="G35" s="224">
        <f>'VI-LP-5'!AB37</f>
        <v>0</v>
      </c>
      <c r="H35" s="224">
        <f>'VI-LP-6'!AB37</f>
        <v>0</v>
      </c>
      <c r="I35" s="224">
        <f>'VI-LP-7'!AB37</f>
        <v>0</v>
      </c>
      <c r="J35" s="224">
        <f>'VI-LP-8'!AB37</f>
        <v>0</v>
      </c>
      <c r="K35" s="224">
        <f>'VI-LP-9'!AB37</f>
        <v>0</v>
      </c>
      <c r="L35" s="224">
        <f>'VI-LP-10'!AB37</f>
        <v>0</v>
      </c>
      <c r="M35" s="224">
        <f>'VI-LP-11'!AB37</f>
        <v>0</v>
      </c>
      <c r="N35" s="224">
        <f>'VI-LP-12'!AB37</f>
        <v>0</v>
      </c>
      <c r="O35" s="224">
        <f>'VI-LP-13'!AB37</f>
        <v>0</v>
      </c>
      <c r="P35" s="224">
        <f>'VI-LP-14'!AB37</f>
        <v>0</v>
      </c>
      <c r="Q35" s="224">
        <f>'VI-LP-15'!AB37</f>
        <v>0</v>
      </c>
      <c r="R35" s="224">
        <f>'VI-LP-16'!AB37</f>
        <v>0</v>
      </c>
      <c r="S35" s="225">
        <f t="shared" si="1"/>
        <v>0</v>
      </c>
      <c r="T35" s="226">
        <f t="shared" si="3"/>
        <v>0</v>
      </c>
      <c r="U35" s="227" t="str">
        <f t="shared" si="4"/>
        <v>D</v>
      </c>
      <c r="V35" s="228">
        <f>'VI-LP-17'!AB37</f>
        <v>0</v>
      </c>
      <c r="W35" s="229">
        <f>'VI-LP-18'!AB37</f>
        <v>0</v>
      </c>
      <c r="X35" s="229">
        <f>'VI-LP-19'!AA37</f>
        <v>0</v>
      </c>
      <c r="Y35" s="229">
        <f>'VI-LP-20'!AB37</f>
        <v>0</v>
      </c>
      <c r="Z35" s="229">
        <f>'VI-LP-21'!AB37</f>
        <v>0</v>
      </c>
      <c r="AA35" s="229">
        <f>'VI-LP-22'!AB37</f>
        <v>0</v>
      </c>
      <c r="AB35" s="229">
        <f>'VI-LP-23'!AB37</f>
        <v>0</v>
      </c>
      <c r="AC35" s="229">
        <f>'VI-LP-24'!AB37</f>
        <v>0</v>
      </c>
      <c r="AD35" s="229">
        <f>'VI-LP-25'!AB37</f>
        <v>0</v>
      </c>
      <c r="AE35" s="229">
        <f>'VI-LP-26'!AB37</f>
        <v>0</v>
      </c>
      <c r="AF35" s="230">
        <f>'VI-LP-27'!AB37</f>
        <v>0</v>
      </c>
      <c r="AG35" s="229">
        <f>'VI-LP-28'!AB37</f>
        <v>0</v>
      </c>
      <c r="AH35" s="229">
        <f>'VI-LP-29'!AB37</f>
        <v>0</v>
      </c>
      <c r="AI35" s="229">
        <f>'VI-LP-30'!AB37</f>
        <v>0</v>
      </c>
      <c r="AJ35" s="229">
        <f>'VI-LP-31'!AB37</f>
        <v>0</v>
      </c>
      <c r="AK35" s="229">
        <f>'VI-LP-32'!AB37</f>
        <v>0</v>
      </c>
      <c r="AL35" s="225">
        <f t="shared" si="2"/>
        <v>0</v>
      </c>
      <c r="AM35" s="226">
        <f t="shared" si="5"/>
        <v>0</v>
      </c>
      <c r="AN35" s="227" t="str">
        <f t="shared" si="6"/>
        <v>D</v>
      </c>
    </row>
    <row r="36" ht="24.75" customHeight="1">
      <c r="A36" s="231">
        <v>30.0</v>
      </c>
      <c r="B36" s="232"/>
      <c r="C36" s="223">
        <f>'VI-LP-1'!AB38</f>
        <v>0</v>
      </c>
      <c r="D36" s="224">
        <f>'VI-LP-2'!AB38</f>
        <v>0</v>
      </c>
      <c r="E36" s="224">
        <f>'VI-LP-3'!AB38</f>
        <v>0</v>
      </c>
      <c r="F36" s="224">
        <f>'VI-LP-4'!AB38</f>
        <v>0</v>
      </c>
      <c r="G36" s="224">
        <f>'VI-LP-5'!AB38</f>
        <v>0</v>
      </c>
      <c r="H36" s="224">
        <f>'VI-LP-6'!AB38</f>
        <v>0</v>
      </c>
      <c r="I36" s="224">
        <f>'VI-LP-7'!AB38</f>
        <v>0</v>
      </c>
      <c r="J36" s="224">
        <f>'VI-LP-8'!AB38</f>
        <v>0</v>
      </c>
      <c r="K36" s="224">
        <f>'VI-LP-9'!AB38</f>
        <v>0</v>
      </c>
      <c r="L36" s="224">
        <f>'VI-LP-10'!AB38</f>
        <v>0</v>
      </c>
      <c r="M36" s="224">
        <f>'VI-LP-11'!AB38</f>
        <v>0</v>
      </c>
      <c r="N36" s="224">
        <f>'VI-LP-12'!AB38</f>
        <v>0</v>
      </c>
      <c r="O36" s="224">
        <f>'VI-LP-13'!AB38</f>
        <v>0</v>
      </c>
      <c r="P36" s="224">
        <f>'VI-LP-14'!AB38</f>
        <v>0</v>
      </c>
      <c r="Q36" s="224">
        <f>'VI-LP-15'!AB38</f>
        <v>0</v>
      </c>
      <c r="R36" s="224">
        <f>'VI-LP-16'!AB38</f>
        <v>0</v>
      </c>
      <c r="S36" s="225">
        <f t="shared" si="1"/>
        <v>0</v>
      </c>
      <c r="T36" s="226">
        <f t="shared" si="3"/>
        <v>0</v>
      </c>
      <c r="U36" s="227" t="str">
        <f t="shared" si="4"/>
        <v>D</v>
      </c>
      <c r="V36" s="228">
        <f>'VI-LP-17'!AB38</f>
        <v>0</v>
      </c>
      <c r="W36" s="229">
        <f>'VI-LP-18'!AB38</f>
        <v>0</v>
      </c>
      <c r="X36" s="229">
        <f>'VI-LP-19'!AA38</f>
        <v>0</v>
      </c>
      <c r="Y36" s="229">
        <f>'VI-LP-20'!AB38</f>
        <v>0</v>
      </c>
      <c r="Z36" s="229">
        <f>'VI-LP-21'!AB38</f>
        <v>0</v>
      </c>
      <c r="AA36" s="229">
        <f>'VI-LP-22'!AB38</f>
        <v>0</v>
      </c>
      <c r="AB36" s="229">
        <f>'VI-LP-23'!AB38</f>
        <v>0</v>
      </c>
      <c r="AC36" s="229">
        <f>'VI-LP-24'!AB38</f>
        <v>0</v>
      </c>
      <c r="AD36" s="229">
        <f>'VI-LP-25'!AB38</f>
        <v>0</v>
      </c>
      <c r="AE36" s="229">
        <f>'VI-LP-26'!AB38</f>
        <v>0</v>
      </c>
      <c r="AF36" s="230">
        <f>'VI-LP-27'!AB38</f>
        <v>0</v>
      </c>
      <c r="AG36" s="229">
        <f>'VI-LP-28'!AB38</f>
        <v>0</v>
      </c>
      <c r="AH36" s="229">
        <f>'VI-LP-29'!AB38</f>
        <v>0</v>
      </c>
      <c r="AI36" s="229">
        <f>'VI-LP-30'!AB38</f>
        <v>0</v>
      </c>
      <c r="AJ36" s="229">
        <f>'VI-LP-31'!AB38</f>
        <v>0</v>
      </c>
      <c r="AK36" s="229">
        <f>'VI-LP-32'!AB38</f>
        <v>0</v>
      </c>
      <c r="AL36" s="225">
        <f t="shared" si="2"/>
        <v>0</v>
      </c>
      <c r="AM36" s="226">
        <f t="shared" si="5"/>
        <v>0</v>
      </c>
      <c r="AN36" s="227" t="str">
        <f t="shared" si="6"/>
        <v>D</v>
      </c>
    </row>
    <row r="37" ht="24.75" customHeight="1">
      <c r="A37" s="231">
        <v>31.0</v>
      </c>
      <c r="B37" s="232"/>
      <c r="C37" s="223">
        <f>'VI-LP-1'!AB39</f>
        <v>0</v>
      </c>
      <c r="D37" s="224">
        <f>'VI-LP-2'!AB39</f>
        <v>0</v>
      </c>
      <c r="E37" s="224">
        <f>'VI-LP-3'!AB39</f>
        <v>0</v>
      </c>
      <c r="F37" s="224">
        <f>'VI-LP-4'!AB39</f>
        <v>0</v>
      </c>
      <c r="G37" s="224">
        <f>'VI-LP-5'!AB39</f>
        <v>0</v>
      </c>
      <c r="H37" s="224">
        <f>'VI-LP-6'!AB39</f>
        <v>0</v>
      </c>
      <c r="I37" s="224">
        <f>'VI-LP-7'!AB39</f>
        <v>0</v>
      </c>
      <c r="J37" s="224">
        <f>'VI-LP-8'!AB39</f>
        <v>0</v>
      </c>
      <c r="K37" s="224">
        <f>'VI-LP-9'!AB39</f>
        <v>0</v>
      </c>
      <c r="L37" s="224">
        <f>'VI-LP-10'!AB39</f>
        <v>0</v>
      </c>
      <c r="M37" s="224">
        <f>'VI-LP-11'!AB39</f>
        <v>0</v>
      </c>
      <c r="N37" s="224">
        <f>'VI-LP-12'!AB39</f>
        <v>0</v>
      </c>
      <c r="O37" s="224">
        <f>'VI-LP-13'!AB39</f>
        <v>0</v>
      </c>
      <c r="P37" s="224">
        <f>'VI-LP-14'!AB39</f>
        <v>0</v>
      </c>
      <c r="Q37" s="224">
        <f>'VI-LP-15'!AB39</f>
        <v>0</v>
      </c>
      <c r="R37" s="224">
        <f>'VI-LP-16'!AB39</f>
        <v>0</v>
      </c>
      <c r="S37" s="225">
        <f t="shared" si="1"/>
        <v>0</v>
      </c>
      <c r="T37" s="226">
        <f t="shared" si="3"/>
        <v>0</v>
      </c>
      <c r="U37" s="227" t="str">
        <f t="shared" si="4"/>
        <v>D</v>
      </c>
      <c r="V37" s="228">
        <f>'VI-LP-17'!AB39</f>
        <v>0</v>
      </c>
      <c r="W37" s="229">
        <f>'VI-LP-18'!AB39</f>
        <v>0</v>
      </c>
      <c r="X37" s="229">
        <f>'VI-LP-19'!AA39</f>
        <v>0</v>
      </c>
      <c r="Y37" s="229">
        <f>'VI-LP-20'!AB39</f>
        <v>0</v>
      </c>
      <c r="Z37" s="229">
        <f>'VI-LP-21'!AB39</f>
        <v>0</v>
      </c>
      <c r="AA37" s="229">
        <f>'VI-LP-22'!AB39</f>
        <v>0</v>
      </c>
      <c r="AB37" s="229">
        <f>'VI-LP-23'!AB39</f>
        <v>0</v>
      </c>
      <c r="AC37" s="229">
        <f>'VI-LP-24'!AB39</f>
        <v>0</v>
      </c>
      <c r="AD37" s="229">
        <f>'VI-LP-25'!AB39</f>
        <v>0</v>
      </c>
      <c r="AE37" s="229">
        <f>'VI-LP-26'!AB39</f>
        <v>0</v>
      </c>
      <c r="AF37" s="230">
        <f>'VI-LP-27'!AB39</f>
        <v>0</v>
      </c>
      <c r="AG37" s="229">
        <f>'VI-LP-28'!AB39</f>
        <v>0</v>
      </c>
      <c r="AH37" s="229">
        <f>'VI-LP-29'!AB39</f>
        <v>0</v>
      </c>
      <c r="AI37" s="229">
        <f>'VI-LP-30'!AB39</f>
        <v>0</v>
      </c>
      <c r="AJ37" s="229">
        <f>'VI-LP-31'!AB39</f>
        <v>0</v>
      </c>
      <c r="AK37" s="229">
        <f>'VI-LP-32'!AB39</f>
        <v>0</v>
      </c>
      <c r="AL37" s="225">
        <f t="shared" si="2"/>
        <v>0</v>
      </c>
      <c r="AM37" s="226">
        <f t="shared" si="5"/>
        <v>0</v>
      </c>
      <c r="AN37" s="227" t="str">
        <f t="shared" si="6"/>
        <v>D</v>
      </c>
    </row>
    <row r="38" ht="24.75" customHeight="1">
      <c r="A38" s="231">
        <v>32.0</v>
      </c>
      <c r="B38" s="232"/>
      <c r="C38" s="223">
        <f>'VI-LP-1'!AB40</f>
        <v>0</v>
      </c>
      <c r="D38" s="224">
        <f>'VI-LP-2'!AB40</f>
        <v>0</v>
      </c>
      <c r="E38" s="224">
        <f>'VI-LP-3'!AB40</f>
        <v>0</v>
      </c>
      <c r="F38" s="224">
        <f>'VI-LP-4'!AB40</f>
        <v>0</v>
      </c>
      <c r="G38" s="224">
        <f>'VI-LP-5'!AB40</f>
        <v>0</v>
      </c>
      <c r="H38" s="224">
        <f>'VI-LP-6'!AB40</f>
        <v>0</v>
      </c>
      <c r="I38" s="224">
        <f>'VI-LP-7'!AB40</f>
        <v>0</v>
      </c>
      <c r="J38" s="224">
        <f>'VI-LP-8'!AB40</f>
        <v>0</v>
      </c>
      <c r="K38" s="224">
        <f>'VI-LP-9'!AB40</f>
        <v>0</v>
      </c>
      <c r="L38" s="224">
        <f>'VI-LP-10'!AB40</f>
        <v>0</v>
      </c>
      <c r="M38" s="224">
        <f>'VI-LP-11'!AB40</f>
        <v>0</v>
      </c>
      <c r="N38" s="224">
        <f>'VI-LP-12'!AB40</f>
        <v>0</v>
      </c>
      <c r="O38" s="224">
        <f>'VI-LP-13'!AB40</f>
        <v>0</v>
      </c>
      <c r="P38" s="224">
        <f>'VI-LP-14'!AB40</f>
        <v>0</v>
      </c>
      <c r="Q38" s="224">
        <f>'VI-LP-15'!AB40</f>
        <v>0</v>
      </c>
      <c r="R38" s="224">
        <f>'VI-LP-16'!AB40</f>
        <v>0</v>
      </c>
      <c r="S38" s="225">
        <f t="shared" si="1"/>
        <v>0</v>
      </c>
      <c r="T38" s="226">
        <f t="shared" si="3"/>
        <v>0</v>
      </c>
      <c r="U38" s="227" t="str">
        <f t="shared" si="4"/>
        <v>D</v>
      </c>
      <c r="V38" s="228">
        <f>'VI-LP-17'!AB40</f>
        <v>0</v>
      </c>
      <c r="W38" s="229">
        <f>'VI-LP-18'!AB40</f>
        <v>0</v>
      </c>
      <c r="X38" s="229">
        <f>'VI-LP-19'!AA40</f>
        <v>0</v>
      </c>
      <c r="Y38" s="229">
        <f>'VI-LP-20'!AB40</f>
        <v>0</v>
      </c>
      <c r="Z38" s="229">
        <f>'VI-LP-21'!AB40</f>
        <v>0</v>
      </c>
      <c r="AA38" s="229">
        <f>'VI-LP-22'!AB40</f>
        <v>0</v>
      </c>
      <c r="AB38" s="229">
        <f>'VI-LP-23'!AB40</f>
        <v>0</v>
      </c>
      <c r="AC38" s="229">
        <f>'VI-LP-24'!AB40</f>
        <v>0</v>
      </c>
      <c r="AD38" s="229">
        <f>'VI-LP-25'!AB40</f>
        <v>0</v>
      </c>
      <c r="AE38" s="229">
        <f>'VI-LP-26'!AB40</f>
        <v>0</v>
      </c>
      <c r="AF38" s="230">
        <f>'VI-LP-27'!AB40</f>
        <v>0</v>
      </c>
      <c r="AG38" s="229">
        <f>'VI-LP-28'!AB40</f>
        <v>0</v>
      </c>
      <c r="AH38" s="229">
        <f>'VI-LP-29'!AB40</f>
        <v>0</v>
      </c>
      <c r="AI38" s="229">
        <f>'VI-LP-30'!AB40</f>
        <v>0</v>
      </c>
      <c r="AJ38" s="229">
        <f>'VI-LP-31'!AB40</f>
        <v>0</v>
      </c>
      <c r="AK38" s="229">
        <f>'VI-LP-32'!AB40</f>
        <v>0</v>
      </c>
      <c r="AL38" s="225">
        <f t="shared" si="2"/>
        <v>0</v>
      </c>
      <c r="AM38" s="226">
        <f t="shared" si="5"/>
        <v>0</v>
      </c>
      <c r="AN38" s="227" t="str">
        <f t="shared" si="6"/>
        <v>D</v>
      </c>
    </row>
    <row r="39" ht="24.75" customHeight="1">
      <c r="A39" s="231">
        <v>33.0</v>
      </c>
      <c r="B39" s="232"/>
      <c r="C39" s="223">
        <f>'VI-LP-1'!AB41</f>
        <v>0</v>
      </c>
      <c r="D39" s="224">
        <f>'VI-LP-2'!AB41</f>
        <v>0</v>
      </c>
      <c r="E39" s="224">
        <f>'VI-LP-3'!AB41</f>
        <v>0</v>
      </c>
      <c r="F39" s="224">
        <f>'VI-LP-4'!AB41</f>
        <v>0</v>
      </c>
      <c r="G39" s="224">
        <f>'VI-LP-5'!AB41</f>
        <v>0</v>
      </c>
      <c r="H39" s="224">
        <f>'VI-LP-6'!AB41</f>
        <v>0</v>
      </c>
      <c r="I39" s="224">
        <f>'VI-LP-7'!AB41</f>
        <v>0</v>
      </c>
      <c r="J39" s="224">
        <f>'VI-LP-8'!AB41</f>
        <v>0</v>
      </c>
      <c r="K39" s="224">
        <f>'VI-LP-9'!AB41</f>
        <v>0</v>
      </c>
      <c r="L39" s="224">
        <f>'VI-LP-10'!AB41</f>
        <v>0</v>
      </c>
      <c r="M39" s="224">
        <f>'VI-LP-11'!AB41</f>
        <v>0</v>
      </c>
      <c r="N39" s="224">
        <f>'VI-LP-12'!AB41</f>
        <v>0</v>
      </c>
      <c r="O39" s="224">
        <f>'VI-LP-13'!AB41</f>
        <v>0</v>
      </c>
      <c r="P39" s="224">
        <f>'VI-LP-14'!AB41</f>
        <v>0</v>
      </c>
      <c r="Q39" s="224">
        <f>'VI-LP-15'!AB41</f>
        <v>0</v>
      </c>
      <c r="R39" s="224">
        <f>'VI-LP-16'!AB41</f>
        <v>0</v>
      </c>
      <c r="S39" s="225">
        <f t="shared" si="1"/>
        <v>0</v>
      </c>
      <c r="T39" s="226">
        <f t="shared" si="3"/>
        <v>0</v>
      </c>
      <c r="U39" s="227" t="str">
        <f t="shared" si="4"/>
        <v>D</v>
      </c>
      <c r="V39" s="228">
        <f>'VI-LP-17'!AB41</f>
        <v>0</v>
      </c>
      <c r="W39" s="229">
        <f>'VI-LP-18'!AB41</f>
        <v>0</v>
      </c>
      <c r="X39" s="229">
        <f>'VI-LP-19'!AA41</f>
        <v>0</v>
      </c>
      <c r="Y39" s="229">
        <f>'VI-LP-20'!AB41</f>
        <v>0</v>
      </c>
      <c r="Z39" s="229">
        <f>'VI-LP-21'!AB41</f>
        <v>0</v>
      </c>
      <c r="AA39" s="229">
        <f>'VI-LP-22'!AB41</f>
        <v>0</v>
      </c>
      <c r="AB39" s="229">
        <f>'VI-LP-23'!AB41</f>
        <v>0</v>
      </c>
      <c r="AC39" s="229">
        <f>'VI-LP-24'!AB41</f>
        <v>0</v>
      </c>
      <c r="AD39" s="229">
        <f>'VI-LP-25'!AB41</f>
        <v>0</v>
      </c>
      <c r="AE39" s="229">
        <f>'VI-LP-26'!AB41</f>
        <v>0</v>
      </c>
      <c r="AF39" s="230">
        <f>'VI-LP-27'!AB41</f>
        <v>0</v>
      </c>
      <c r="AG39" s="229">
        <f>'VI-LP-28'!AB41</f>
        <v>0</v>
      </c>
      <c r="AH39" s="229">
        <f>'VI-LP-29'!AB41</f>
        <v>0</v>
      </c>
      <c r="AI39" s="229">
        <f>'VI-LP-30'!AB41</f>
        <v>0</v>
      </c>
      <c r="AJ39" s="229">
        <f>'VI-LP-31'!AB41</f>
        <v>0</v>
      </c>
      <c r="AK39" s="229">
        <f>'VI-LP-32'!AB41</f>
        <v>0</v>
      </c>
      <c r="AL39" s="225">
        <f t="shared" si="2"/>
        <v>0</v>
      </c>
      <c r="AM39" s="226">
        <f t="shared" si="5"/>
        <v>0</v>
      </c>
      <c r="AN39" s="227" t="str">
        <f t="shared" si="6"/>
        <v>D</v>
      </c>
    </row>
    <row r="40" ht="24.75" customHeight="1">
      <c r="A40" s="231">
        <v>34.0</v>
      </c>
      <c r="B40" s="232"/>
      <c r="C40" s="223">
        <f>'VI-LP-1'!AB42</f>
        <v>0</v>
      </c>
      <c r="D40" s="224">
        <f>'VI-LP-2'!AB42</f>
        <v>0</v>
      </c>
      <c r="E40" s="224">
        <f>'VI-LP-3'!AB42</f>
        <v>0</v>
      </c>
      <c r="F40" s="224">
        <f>'VI-LP-4'!AB42</f>
        <v>0</v>
      </c>
      <c r="G40" s="224">
        <f>'VI-LP-5'!AB42</f>
        <v>0</v>
      </c>
      <c r="H40" s="224">
        <f>'VI-LP-6'!AB42</f>
        <v>0</v>
      </c>
      <c r="I40" s="224">
        <f>'VI-LP-7'!AB42</f>
        <v>0</v>
      </c>
      <c r="J40" s="224">
        <f>'VI-LP-8'!AB42</f>
        <v>0</v>
      </c>
      <c r="K40" s="224">
        <f>'VI-LP-9'!AB42</f>
        <v>0</v>
      </c>
      <c r="L40" s="224">
        <f>'VI-LP-10'!AB42</f>
        <v>0</v>
      </c>
      <c r="M40" s="224">
        <f>'VI-LP-11'!AB42</f>
        <v>0</v>
      </c>
      <c r="N40" s="224">
        <f>'VI-LP-12'!AB42</f>
        <v>0</v>
      </c>
      <c r="O40" s="224">
        <f>'VI-LP-13'!AB42</f>
        <v>0</v>
      </c>
      <c r="P40" s="224">
        <f>'VI-LP-14'!AB42</f>
        <v>0</v>
      </c>
      <c r="Q40" s="224">
        <f>'VI-LP-15'!AB42</f>
        <v>0</v>
      </c>
      <c r="R40" s="224">
        <f>'VI-LP-16'!AB42</f>
        <v>0</v>
      </c>
      <c r="S40" s="225">
        <f t="shared" si="1"/>
        <v>0</v>
      </c>
      <c r="T40" s="226">
        <f t="shared" si="3"/>
        <v>0</v>
      </c>
      <c r="U40" s="227" t="str">
        <f t="shared" si="4"/>
        <v>D</v>
      </c>
      <c r="V40" s="228">
        <f>'VI-LP-17'!AB42</f>
        <v>0</v>
      </c>
      <c r="W40" s="229">
        <f>'VI-LP-18'!AB42</f>
        <v>0</v>
      </c>
      <c r="X40" s="229">
        <f>'VI-LP-19'!AA42</f>
        <v>0</v>
      </c>
      <c r="Y40" s="229">
        <f>'VI-LP-20'!AB42</f>
        <v>0</v>
      </c>
      <c r="Z40" s="229">
        <f>'VI-LP-21'!AB42</f>
        <v>0</v>
      </c>
      <c r="AA40" s="229">
        <f>'VI-LP-22'!AB42</f>
        <v>0</v>
      </c>
      <c r="AB40" s="229">
        <f>'VI-LP-23'!AB42</f>
        <v>0</v>
      </c>
      <c r="AC40" s="229">
        <f>'VI-LP-24'!AB42</f>
        <v>0</v>
      </c>
      <c r="AD40" s="229">
        <f>'VI-LP-25'!AB42</f>
        <v>0</v>
      </c>
      <c r="AE40" s="229">
        <f>'VI-LP-26'!AB42</f>
        <v>0</v>
      </c>
      <c r="AF40" s="230">
        <f>'VI-LP-27'!AB42</f>
        <v>0</v>
      </c>
      <c r="AG40" s="229">
        <f>'VI-LP-28'!AB42</f>
        <v>0</v>
      </c>
      <c r="AH40" s="229">
        <f>'VI-LP-29'!AB42</f>
        <v>0</v>
      </c>
      <c r="AI40" s="229">
        <f>'VI-LP-30'!AB42</f>
        <v>0</v>
      </c>
      <c r="AJ40" s="229">
        <f>'VI-LP-31'!AB42</f>
        <v>0</v>
      </c>
      <c r="AK40" s="229">
        <f>'VI-LP-32'!AB42</f>
        <v>0</v>
      </c>
      <c r="AL40" s="225">
        <f t="shared" si="2"/>
        <v>0</v>
      </c>
      <c r="AM40" s="226">
        <f t="shared" si="5"/>
        <v>0</v>
      </c>
      <c r="AN40" s="227" t="str">
        <f t="shared" si="6"/>
        <v>D</v>
      </c>
    </row>
    <row r="41" ht="24.75" customHeight="1">
      <c r="A41" s="231">
        <v>35.0</v>
      </c>
      <c r="B41" s="232"/>
      <c r="C41" s="223">
        <f>'VI-LP-1'!AB43</f>
        <v>0</v>
      </c>
      <c r="D41" s="224">
        <f>'VI-LP-2'!AB43</f>
        <v>0</v>
      </c>
      <c r="E41" s="224">
        <f>'VI-LP-3'!AB43</f>
        <v>0</v>
      </c>
      <c r="F41" s="224">
        <f>'VI-LP-4'!AB43</f>
        <v>0</v>
      </c>
      <c r="G41" s="224">
        <f>'VI-LP-5'!AB43</f>
        <v>0</v>
      </c>
      <c r="H41" s="224">
        <f>'VI-LP-6'!AB43</f>
        <v>0</v>
      </c>
      <c r="I41" s="224">
        <f>'VI-LP-7'!AB43</f>
        <v>0</v>
      </c>
      <c r="J41" s="224">
        <f>'VI-LP-8'!AB43</f>
        <v>0</v>
      </c>
      <c r="K41" s="224">
        <f>'VI-LP-9'!AB43</f>
        <v>0</v>
      </c>
      <c r="L41" s="224">
        <f>'VI-LP-10'!AB43</f>
        <v>0</v>
      </c>
      <c r="M41" s="224">
        <f>'VI-LP-11'!AB43</f>
        <v>0</v>
      </c>
      <c r="N41" s="224">
        <f>'VI-LP-12'!AB43</f>
        <v>0</v>
      </c>
      <c r="O41" s="224">
        <f>'VI-LP-13'!AB43</f>
        <v>0</v>
      </c>
      <c r="P41" s="224">
        <f>'VI-LP-14'!AB43</f>
        <v>0</v>
      </c>
      <c r="Q41" s="224">
        <f>'VI-LP-15'!AB43</f>
        <v>0</v>
      </c>
      <c r="R41" s="224">
        <f>'VI-LP-16'!AB43</f>
        <v>0</v>
      </c>
      <c r="S41" s="225">
        <f t="shared" si="1"/>
        <v>0</v>
      </c>
      <c r="T41" s="226">
        <f t="shared" si="3"/>
        <v>0</v>
      </c>
      <c r="U41" s="227" t="str">
        <f t="shared" si="4"/>
        <v>D</v>
      </c>
      <c r="V41" s="228">
        <f>'VI-LP-17'!AB43</f>
        <v>0</v>
      </c>
      <c r="W41" s="229">
        <f>'VI-LP-18'!AB43</f>
        <v>0</v>
      </c>
      <c r="X41" s="229">
        <f>'VI-LP-19'!AA43</f>
        <v>0</v>
      </c>
      <c r="Y41" s="229">
        <f>'VI-LP-20'!AB43</f>
        <v>0</v>
      </c>
      <c r="Z41" s="229">
        <f>'VI-LP-21'!AB43</f>
        <v>0</v>
      </c>
      <c r="AA41" s="229">
        <f>'VI-LP-22'!AB43</f>
        <v>0</v>
      </c>
      <c r="AB41" s="229">
        <f>'VI-LP-23'!AB43</f>
        <v>0</v>
      </c>
      <c r="AC41" s="229">
        <f>'VI-LP-24'!AB43</f>
        <v>0</v>
      </c>
      <c r="AD41" s="229">
        <f>'VI-LP-25'!AB43</f>
        <v>0</v>
      </c>
      <c r="AE41" s="229">
        <f>'VI-LP-26'!AB43</f>
        <v>0</v>
      </c>
      <c r="AF41" s="230">
        <f>'VI-LP-27'!AB43</f>
        <v>0</v>
      </c>
      <c r="AG41" s="229">
        <f>'VI-LP-28'!AB43</f>
        <v>0</v>
      </c>
      <c r="AH41" s="229">
        <f>'VI-LP-29'!AB43</f>
        <v>0</v>
      </c>
      <c r="AI41" s="229">
        <f>'VI-LP-30'!AB43</f>
        <v>0</v>
      </c>
      <c r="AJ41" s="229">
        <f>'VI-LP-31'!AB43</f>
        <v>0</v>
      </c>
      <c r="AK41" s="229">
        <f>'VI-LP-32'!AB43</f>
        <v>0</v>
      </c>
      <c r="AL41" s="225">
        <f t="shared" si="2"/>
        <v>0</v>
      </c>
      <c r="AM41" s="226">
        <f t="shared" si="5"/>
        <v>0</v>
      </c>
      <c r="AN41" s="227" t="str">
        <f t="shared" si="6"/>
        <v>D</v>
      </c>
    </row>
    <row r="42" ht="24.75" customHeight="1">
      <c r="A42" s="231">
        <v>36.0</v>
      </c>
      <c r="B42" s="232"/>
      <c r="C42" s="223">
        <f>'VI-LP-1'!AB44</f>
        <v>0</v>
      </c>
      <c r="D42" s="224">
        <f>'VI-LP-2'!AB44</f>
        <v>0</v>
      </c>
      <c r="E42" s="224">
        <f>'VI-LP-3'!AB44</f>
        <v>0</v>
      </c>
      <c r="F42" s="224">
        <f>'VI-LP-4'!AB44</f>
        <v>0</v>
      </c>
      <c r="G42" s="224">
        <f>'VI-LP-5'!AB44</f>
        <v>0</v>
      </c>
      <c r="H42" s="224">
        <f>'VI-LP-6'!AB44</f>
        <v>0</v>
      </c>
      <c r="I42" s="224">
        <f>'VI-LP-7'!AB44</f>
        <v>0</v>
      </c>
      <c r="J42" s="224">
        <f>'VI-LP-8'!AB44</f>
        <v>0</v>
      </c>
      <c r="K42" s="224">
        <f>'VI-LP-9'!AB44</f>
        <v>0</v>
      </c>
      <c r="L42" s="224">
        <f>'VI-LP-10'!AB44</f>
        <v>0</v>
      </c>
      <c r="M42" s="224">
        <f>'VI-LP-11'!AB44</f>
        <v>0</v>
      </c>
      <c r="N42" s="224">
        <f>'VI-LP-12'!AB44</f>
        <v>0</v>
      </c>
      <c r="O42" s="224">
        <f>'VI-LP-13'!AB44</f>
        <v>0</v>
      </c>
      <c r="P42" s="224">
        <f>'VI-LP-14'!AB44</f>
        <v>0</v>
      </c>
      <c r="Q42" s="224">
        <f>'VI-LP-15'!AB44</f>
        <v>0</v>
      </c>
      <c r="R42" s="224">
        <f>'VI-LP-16'!AB44</f>
        <v>0</v>
      </c>
      <c r="S42" s="225">
        <f t="shared" si="1"/>
        <v>0</v>
      </c>
      <c r="T42" s="226">
        <f t="shared" si="3"/>
        <v>0</v>
      </c>
      <c r="U42" s="227" t="str">
        <f t="shared" si="4"/>
        <v>D</v>
      </c>
      <c r="V42" s="228">
        <f>'VI-LP-17'!AB44</f>
        <v>0</v>
      </c>
      <c r="W42" s="229">
        <f>'VI-LP-18'!AB44</f>
        <v>0</v>
      </c>
      <c r="X42" s="229">
        <f>'VI-LP-19'!AA44</f>
        <v>0</v>
      </c>
      <c r="Y42" s="229">
        <f>'VI-LP-20'!AB44</f>
        <v>0</v>
      </c>
      <c r="Z42" s="229">
        <f>'VI-LP-21'!AB44</f>
        <v>0</v>
      </c>
      <c r="AA42" s="229">
        <f>'VI-LP-22'!AB44</f>
        <v>0</v>
      </c>
      <c r="AB42" s="229">
        <f>'VI-LP-23'!AB44</f>
        <v>0</v>
      </c>
      <c r="AC42" s="229">
        <f>'VI-LP-24'!AB44</f>
        <v>0</v>
      </c>
      <c r="AD42" s="229">
        <f>'VI-LP-25'!AB44</f>
        <v>0</v>
      </c>
      <c r="AE42" s="229">
        <f>'VI-LP-26'!AB44</f>
        <v>0</v>
      </c>
      <c r="AF42" s="230">
        <f>'VI-LP-27'!AB44</f>
        <v>0</v>
      </c>
      <c r="AG42" s="229">
        <f>'VI-LP-28'!AB44</f>
        <v>0</v>
      </c>
      <c r="AH42" s="229">
        <f>'VI-LP-29'!AB44</f>
        <v>0</v>
      </c>
      <c r="AI42" s="229">
        <f>'VI-LP-30'!AB44</f>
        <v>0</v>
      </c>
      <c r="AJ42" s="229">
        <f>'VI-LP-31'!AB44</f>
        <v>0</v>
      </c>
      <c r="AK42" s="229">
        <f>'VI-LP-32'!AB44</f>
        <v>0</v>
      </c>
      <c r="AL42" s="225">
        <f t="shared" si="2"/>
        <v>0</v>
      </c>
      <c r="AM42" s="226">
        <f t="shared" si="5"/>
        <v>0</v>
      </c>
      <c r="AN42" s="227" t="str">
        <f t="shared" si="6"/>
        <v>D</v>
      </c>
    </row>
    <row r="43" ht="24.75" customHeight="1">
      <c r="A43" s="231">
        <v>37.0</v>
      </c>
      <c r="B43" s="232"/>
      <c r="C43" s="223">
        <f>'VI-LP-1'!AB45</f>
        <v>0</v>
      </c>
      <c r="D43" s="224">
        <f>'VI-LP-2'!AB45</f>
        <v>0</v>
      </c>
      <c r="E43" s="224">
        <f>'VI-LP-3'!AB45</f>
        <v>0</v>
      </c>
      <c r="F43" s="224">
        <f>'VI-LP-4'!AB45</f>
        <v>0</v>
      </c>
      <c r="G43" s="224">
        <f>'VI-LP-5'!AB45</f>
        <v>0</v>
      </c>
      <c r="H43" s="224">
        <f>'VI-LP-6'!AB45</f>
        <v>0</v>
      </c>
      <c r="I43" s="224">
        <f>'VI-LP-7'!AB45</f>
        <v>0</v>
      </c>
      <c r="J43" s="224">
        <f>'VI-LP-8'!AB45</f>
        <v>0</v>
      </c>
      <c r="K43" s="224">
        <f>'VI-LP-9'!AB45</f>
        <v>0</v>
      </c>
      <c r="L43" s="224">
        <f>'VI-LP-10'!AB45</f>
        <v>0</v>
      </c>
      <c r="M43" s="224">
        <f>'VI-LP-11'!AB45</f>
        <v>0</v>
      </c>
      <c r="N43" s="224">
        <f>'VI-LP-12'!AB45</f>
        <v>0</v>
      </c>
      <c r="O43" s="224">
        <f>'VI-LP-13'!AB45</f>
        <v>0</v>
      </c>
      <c r="P43" s="224">
        <f>'VI-LP-14'!AB45</f>
        <v>0</v>
      </c>
      <c r="Q43" s="224">
        <f>'VI-LP-15'!AB45</f>
        <v>0</v>
      </c>
      <c r="R43" s="224">
        <f>'VI-LP-16'!AB45</f>
        <v>0</v>
      </c>
      <c r="S43" s="225">
        <f t="shared" si="1"/>
        <v>0</v>
      </c>
      <c r="T43" s="226">
        <f t="shared" si="3"/>
        <v>0</v>
      </c>
      <c r="U43" s="227" t="str">
        <f t="shared" si="4"/>
        <v>D</v>
      </c>
      <c r="V43" s="228">
        <f>'VI-LP-17'!AB45</f>
        <v>0</v>
      </c>
      <c r="W43" s="229">
        <f>'VI-LP-18'!AB45</f>
        <v>0</v>
      </c>
      <c r="X43" s="229">
        <f>'VI-LP-19'!AA45</f>
        <v>0</v>
      </c>
      <c r="Y43" s="229">
        <f>'VI-LP-20'!AB45</f>
        <v>0</v>
      </c>
      <c r="Z43" s="229">
        <f>'VI-LP-21'!AB45</f>
        <v>0</v>
      </c>
      <c r="AA43" s="229">
        <f>'VI-LP-22'!AB45</f>
        <v>0</v>
      </c>
      <c r="AB43" s="229">
        <f>'VI-LP-23'!AB45</f>
        <v>0</v>
      </c>
      <c r="AC43" s="229">
        <f>'VI-LP-24'!AB45</f>
        <v>0</v>
      </c>
      <c r="AD43" s="229">
        <f>'VI-LP-25'!AB45</f>
        <v>0</v>
      </c>
      <c r="AE43" s="229">
        <f>'VI-LP-26'!AB45</f>
        <v>0</v>
      </c>
      <c r="AF43" s="230">
        <f>'VI-LP-27'!AB45</f>
        <v>0</v>
      </c>
      <c r="AG43" s="229">
        <f>'VI-LP-28'!AB45</f>
        <v>0</v>
      </c>
      <c r="AH43" s="229">
        <f>'VI-LP-29'!AB45</f>
        <v>0</v>
      </c>
      <c r="AI43" s="229">
        <f>'VI-LP-30'!AB45</f>
        <v>0</v>
      </c>
      <c r="AJ43" s="229">
        <f>'VI-LP-31'!AB45</f>
        <v>0</v>
      </c>
      <c r="AK43" s="229">
        <f>'VI-LP-32'!AB45</f>
        <v>0</v>
      </c>
      <c r="AL43" s="225">
        <f t="shared" si="2"/>
        <v>0</v>
      </c>
      <c r="AM43" s="226">
        <f t="shared" si="5"/>
        <v>0</v>
      </c>
      <c r="AN43" s="227" t="str">
        <f t="shared" si="6"/>
        <v>D</v>
      </c>
    </row>
    <row r="44" ht="24.75" customHeight="1">
      <c r="A44" s="231">
        <v>38.0</v>
      </c>
      <c r="B44" s="232"/>
      <c r="C44" s="223">
        <f>'VI-LP-1'!AB46</f>
        <v>0</v>
      </c>
      <c r="D44" s="224">
        <f>'VI-LP-2'!AB46</f>
        <v>0</v>
      </c>
      <c r="E44" s="224">
        <f>'VI-LP-3'!AB46</f>
        <v>0</v>
      </c>
      <c r="F44" s="224">
        <f>'VI-LP-4'!AB46</f>
        <v>0</v>
      </c>
      <c r="G44" s="224">
        <f>'VI-LP-5'!AB46</f>
        <v>0</v>
      </c>
      <c r="H44" s="224">
        <f>'VI-LP-6'!AB46</f>
        <v>0</v>
      </c>
      <c r="I44" s="224">
        <f>'VI-LP-7'!AB46</f>
        <v>0</v>
      </c>
      <c r="J44" s="224">
        <f>'VI-LP-8'!AB46</f>
        <v>0</v>
      </c>
      <c r="K44" s="224">
        <f>'VI-LP-9'!AB46</f>
        <v>0</v>
      </c>
      <c r="L44" s="224">
        <f>'VI-LP-10'!AB46</f>
        <v>0</v>
      </c>
      <c r="M44" s="224">
        <f>'VI-LP-11'!AB46</f>
        <v>0</v>
      </c>
      <c r="N44" s="224">
        <f>'VI-LP-12'!AB46</f>
        <v>0</v>
      </c>
      <c r="O44" s="224">
        <f>'VI-LP-13'!AB46</f>
        <v>0</v>
      </c>
      <c r="P44" s="224">
        <f>'VI-LP-14'!AB46</f>
        <v>0</v>
      </c>
      <c r="Q44" s="224">
        <f>'VI-LP-15'!AB46</f>
        <v>0</v>
      </c>
      <c r="R44" s="224">
        <f>'VI-LP-16'!AB46</f>
        <v>0</v>
      </c>
      <c r="S44" s="225">
        <f t="shared" si="1"/>
        <v>0</v>
      </c>
      <c r="T44" s="226">
        <f t="shared" si="3"/>
        <v>0</v>
      </c>
      <c r="U44" s="227" t="str">
        <f t="shared" si="4"/>
        <v>D</v>
      </c>
      <c r="V44" s="228">
        <f>'VI-LP-17'!AB46</f>
        <v>0</v>
      </c>
      <c r="W44" s="229">
        <f>'VI-LP-18'!AB46</f>
        <v>0</v>
      </c>
      <c r="X44" s="229">
        <f>'VI-LP-19'!AA46</f>
        <v>0</v>
      </c>
      <c r="Y44" s="229">
        <f>'VI-LP-20'!AB46</f>
        <v>0</v>
      </c>
      <c r="Z44" s="229">
        <f>'VI-LP-21'!AB46</f>
        <v>0</v>
      </c>
      <c r="AA44" s="229">
        <f>'VI-LP-22'!AB46</f>
        <v>0</v>
      </c>
      <c r="AB44" s="229">
        <f>'VI-LP-23'!AB46</f>
        <v>0</v>
      </c>
      <c r="AC44" s="229">
        <f>'VI-LP-24'!AB46</f>
        <v>0</v>
      </c>
      <c r="AD44" s="229">
        <f>'VI-LP-25'!AB46</f>
        <v>0</v>
      </c>
      <c r="AE44" s="229">
        <f>'VI-LP-26'!AB46</f>
        <v>0</v>
      </c>
      <c r="AF44" s="230">
        <f>'VI-LP-27'!AB46</f>
        <v>0</v>
      </c>
      <c r="AG44" s="229">
        <f>'VI-LP-28'!AB46</f>
        <v>0</v>
      </c>
      <c r="AH44" s="229">
        <f>'VI-LP-29'!AB46</f>
        <v>0</v>
      </c>
      <c r="AI44" s="229">
        <f>'VI-LP-30'!AB46</f>
        <v>0</v>
      </c>
      <c r="AJ44" s="229">
        <f>'VI-LP-31'!AB46</f>
        <v>0</v>
      </c>
      <c r="AK44" s="229">
        <f>'VI-LP-32'!AB46</f>
        <v>0</v>
      </c>
      <c r="AL44" s="225">
        <f t="shared" si="2"/>
        <v>0</v>
      </c>
      <c r="AM44" s="226">
        <f t="shared" si="5"/>
        <v>0</v>
      </c>
      <c r="AN44" s="227" t="str">
        <f t="shared" si="6"/>
        <v>D</v>
      </c>
    </row>
    <row r="45" ht="24.75" customHeight="1">
      <c r="A45" s="231">
        <v>39.0</v>
      </c>
      <c r="B45" s="232"/>
      <c r="C45" s="223">
        <f>'VI-LP-1'!AB47</f>
        <v>0</v>
      </c>
      <c r="D45" s="224">
        <f>'VI-LP-2'!AB47</f>
        <v>0</v>
      </c>
      <c r="E45" s="224">
        <f>'VI-LP-3'!AB47</f>
        <v>0</v>
      </c>
      <c r="F45" s="224">
        <f>'VI-LP-4'!AB47</f>
        <v>0</v>
      </c>
      <c r="G45" s="224">
        <f>'VI-LP-5'!AB47</f>
        <v>0</v>
      </c>
      <c r="H45" s="224">
        <f>'VI-LP-6'!AB47</f>
        <v>0</v>
      </c>
      <c r="I45" s="224">
        <f>'VI-LP-7'!AB47</f>
        <v>0</v>
      </c>
      <c r="J45" s="224">
        <f>'VI-LP-8'!AB47</f>
        <v>0</v>
      </c>
      <c r="K45" s="224">
        <f>'VI-LP-9'!AB47</f>
        <v>0</v>
      </c>
      <c r="L45" s="224">
        <f>'VI-LP-10'!AB47</f>
        <v>0</v>
      </c>
      <c r="M45" s="224">
        <f>'VI-LP-11'!AB47</f>
        <v>0</v>
      </c>
      <c r="N45" s="224">
        <f>'VI-LP-12'!AB47</f>
        <v>0</v>
      </c>
      <c r="O45" s="224">
        <f>'VI-LP-13'!AB47</f>
        <v>0</v>
      </c>
      <c r="P45" s="224">
        <f>'VI-LP-14'!AB47</f>
        <v>0</v>
      </c>
      <c r="Q45" s="224">
        <f>'VI-LP-15'!AB47</f>
        <v>0</v>
      </c>
      <c r="R45" s="224">
        <f>'VI-LP-16'!AB47</f>
        <v>0</v>
      </c>
      <c r="S45" s="225">
        <f t="shared" si="1"/>
        <v>0</v>
      </c>
      <c r="T45" s="226">
        <f t="shared" si="3"/>
        <v>0</v>
      </c>
      <c r="U45" s="227" t="str">
        <f t="shared" si="4"/>
        <v>D</v>
      </c>
      <c r="V45" s="228">
        <f>'VI-LP-17'!AB47</f>
        <v>0</v>
      </c>
      <c r="W45" s="229">
        <f>'VI-LP-18'!AB47</f>
        <v>0</v>
      </c>
      <c r="X45" s="229">
        <f>'VI-LP-19'!AA47</f>
        <v>0</v>
      </c>
      <c r="Y45" s="229">
        <f>'VI-LP-20'!AB47</f>
        <v>0</v>
      </c>
      <c r="Z45" s="229">
        <f>'VI-LP-21'!AB47</f>
        <v>0</v>
      </c>
      <c r="AA45" s="229">
        <f>'VI-LP-22'!AB47</f>
        <v>0</v>
      </c>
      <c r="AB45" s="229">
        <f>'VI-LP-23'!AB47</f>
        <v>0</v>
      </c>
      <c r="AC45" s="229">
        <f>'VI-LP-24'!AB47</f>
        <v>0</v>
      </c>
      <c r="AD45" s="229">
        <f>'VI-LP-25'!AB47</f>
        <v>0</v>
      </c>
      <c r="AE45" s="229">
        <f>'VI-LP-26'!AB47</f>
        <v>0</v>
      </c>
      <c r="AF45" s="230">
        <f>'VI-LP-27'!AB47</f>
        <v>0</v>
      </c>
      <c r="AG45" s="229">
        <f>'VI-LP-28'!AB47</f>
        <v>0</v>
      </c>
      <c r="AH45" s="229">
        <f>'VI-LP-29'!AB47</f>
        <v>0</v>
      </c>
      <c r="AI45" s="229">
        <f>'VI-LP-30'!AB47</f>
        <v>0</v>
      </c>
      <c r="AJ45" s="229">
        <f>'VI-LP-31'!AB47</f>
        <v>0</v>
      </c>
      <c r="AK45" s="229">
        <f>'VI-LP-32'!AB47</f>
        <v>0</v>
      </c>
      <c r="AL45" s="225">
        <f t="shared" si="2"/>
        <v>0</v>
      </c>
      <c r="AM45" s="226">
        <f t="shared" si="5"/>
        <v>0</v>
      </c>
      <c r="AN45" s="227" t="str">
        <f t="shared" si="6"/>
        <v>D</v>
      </c>
    </row>
    <row r="46" ht="24.75" customHeight="1">
      <c r="A46" s="231">
        <v>40.0</v>
      </c>
      <c r="B46" s="232"/>
      <c r="C46" s="223">
        <f>'VI-LP-1'!AB48</f>
        <v>0</v>
      </c>
      <c r="D46" s="224">
        <f>'VI-LP-2'!AB48</f>
        <v>0</v>
      </c>
      <c r="E46" s="224">
        <f>'VI-LP-3'!AB48</f>
        <v>0</v>
      </c>
      <c r="F46" s="224">
        <f>'VI-LP-4'!AB48</f>
        <v>0</v>
      </c>
      <c r="G46" s="224">
        <f>'VI-LP-5'!AB48</f>
        <v>0</v>
      </c>
      <c r="H46" s="224">
        <f>'VI-LP-6'!AB48</f>
        <v>0</v>
      </c>
      <c r="I46" s="224">
        <f>'VI-LP-7'!AB48</f>
        <v>0</v>
      </c>
      <c r="J46" s="224">
        <f>'VI-LP-8'!AB48</f>
        <v>0</v>
      </c>
      <c r="K46" s="224">
        <f>'VI-LP-9'!AB48</f>
        <v>0</v>
      </c>
      <c r="L46" s="224">
        <f>'VI-LP-10'!AB48</f>
        <v>0</v>
      </c>
      <c r="M46" s="224">
        <f>'VI-LP-11'!AB48</f>
        <v>0</v>
      </c>
      <c r="N46" s="224">
        <f>'VI-LP-12'!AB48</f>
        <v>0</v>
      </c>
      <c r="O46" s="224">
        <f>'VI-LP-13'!AB48</f>
        <v>0</v>
      </c>
      <c r="P46" s="224">
        <f>'VI-LP-14'!AB48</f>
        <v>0</v>
      </c>
      <c r="Q46" s="224">
        <f>'VI-LP-15'!AB48</f>
        <v>0</v>
      </c>
      <c r="R46" s="224">
        <f>'VI-LP-16'!AB48</f>
        <v>0</v>
      </c>
      <c r="S46" s="225">
        <f t="shared" si="1"/>
        <v>0</v>
      </c>
      <c r="T46" s="226">
        <f t="shared" si="3"/>
        <v>0</v>
      </c>
      <c r="U46" s="227" t="str">
        <f t="shared" si="4"/>
        <v>D</v>
      </c>
      <c r="V46" s="228">
        <f>'VI-LP-17'!AB48</f>
        <v>0</v>
      </c>
      <c r="W46" s="229">
        <f>'VI-LP-18'!AB48</f>
        <v>0</v>
      </c>
      <c r="X46" s="229">
        <f>'VI-LP-19'!AA48</f>
        <v>0</v>
      </c>
      <c r="Y46" s="229">
        <f>'VI-LP-20'!AB48</f>
        <v>0</v>
      </c>
      <c r="Z46" s="229">
        <f>'VI-LP-21'!AB48</f>
        <v>0</v>
      </c>
      <c r="AA46" s="229">
        <f>'VI-LP-22'!AB48</f>
        <v>0</v>
      </c>
      <c r="AB46" s="229">
        <f>'VI-LP-23'!AB48</f>
        <v>0</v>
      </c>
      <c r="AC46" s="229">
        <f>'VI-LP-24'!AB48</f>
        <v>0</v>
      </c>
      <c r="AD46" s="229">
        <f>'VI-LP-25'!AB48</f>
        <v>0</v>
      </c>
      <c r="AE46" s="229">
        <f>'VI-LP-26'!AB48</f>
        <v>0</v>
      </c>
      <c r="AF46" s="230">
        <f>'VI-LP-27'!AB48</f>
        <v>0</v>
      </c>
      <c r="AG46" s="229">
        <f>'VI-LP-28'!AB48</f>
        <v>0</v>
      </c>
      <c r="AH46" s="229">
        <f>'VI-LP-29'!AB48</f>
        <v>0</v>
      </c>
      <c r="AI46" s="229">
        <f>'VI-LP-30'!AB48</f>
        <v>0</v>
      </c>
      <c r="AJ46" s="229">
        <f>'VI-LP-31'!AB48</f>
        <v>0</v>
      </c>
      <c r="AK46" s="229">
        <f>'VI-LP-32'!AB48</f>
        <v>0</v>
      </c>
      <c r="AL46" s="225">
        <f t="shared" si="2"/>
        <v>0</v>
      </c>
      <c r="AM46" s="226">
        <f t="shared" si="5"/>
        <v>0</v>
      </c>
      <c r="AN46" s="227" t="str">
        <f t="shared" si="6"/>
        <v>D</v>
      </c>
    </row>
    <row r="47" ht="24.75" customHeight="1">
      <c r="A47" s="231">
        <v>41.0</v>
      </c>
      <c r="B47" s="232"/>
      <c r="C47" s="223">
        <f>'VI-LP-1'!AB49</f>
        <v>0</v>
      </c>
      <c r="D47" s="224">
        <f>'VI-LP-2'!AB49</f>
        <v>0</v>
      </c>
      <c r="E47" s="224">
        <f>'VI-LP-3'!AB49</f>
        <v>0</v>
      </c>
      <c r="F47" s="224">
        <f>'VI-LP-4'!AB49</f>
        <v>0</v>
      </c>
      <c r="G47" s="224">
        <f>'VI-LP-5'!AB49</f>
        <v>0</v>
      </c>
      <c r="H47" s="224">
        <f>'VI-LP-6'!AB49</f>
        <v>0</v>
      </c>
      <c r="I47" s="224">
        <f>'VI-LP-7'!AB49</f>
        <v>0</v>
      </c>
      <c r="J47" s="224">
        <f>'VI-LP-8'!AB49</f>
        <v>0</v>
      </c>
      <c r="K47" s="224">
        <f>'VI-LP-9'!AB49</f>
        <v>0</v>
      </c>
      <c r="L47" s="224">
        <f>'VI-LP-10'!AB49</f>
        <v>0</v>
      </c>
      <c r="M47" s="224">
        <f>'VI-LP-11'!AB49</f>
        <v>0</v>
      </c>
      <c r="N47" s="224">
        <f>'VI-LP-12'!AB49</f>
        <v>0</v>
      </c>
      <c r="O47" s="224">
        <f>'VI-LP-13'!AB49</f>
        <v>0</v>
      </c>
      <c r="P47" s="224">
        <f>'VI-LP-14'!AB49</f>
        <v>0</v>
      </c>
      <c r="Q47" s="224">
        <f>'VI-LP-15'!AB49</f>
        <v>0</v>
      </c>
      <c r="R47" s="224">
        <f>'VI-LP-16'!AB49</f>
        <v>0</v>
      </c>
      <c r="S47" s="225">
        <f t="shared" si="1"/>
        <v>0</v>
      </c>
      <c r="T47" s="226">
        <f t="shared" si="3"/>
        <v>0</v>
      </c>
      <c r="U47" s="227" t="str">
        <f t="shared" si="4"/>
        <v>D</v>
      </c>
      <c r="V47" s="228">
        <f>'VI-LP-17'!AB49</f>
        <v>0</v>
      </c>
      <c r="W47" s="229">
        <f>'VI-LP-18'!AB49</f>
        <v>0</v>
      </c>
      <c r="X47" s="229">
        <f>'VI-LP-19'!AA49</f>
        <v>0</v>
      </c>
      <c r="Y47" s="229">
        <f>'VI-LP-20'!AB49</f>
        <v>0</v>
      </c>
      <c r="Z47" s="229">
        <f>'VI-LP-21'!AB49</f>
        <v>0</v>
      </c>
      <c r="AA47" s="229">
        <f>'VI-LP-22'!AB49</f>
        <v>0</v>
      </c>
      <c r="AB47" s="229">
        <f>'VI-LP-23'!AB49</f>
        <v>0</v>
      </c>
      <c r="AC47" s="229">
        <f>'VI-LP-24'!AB49</f>
        <v>0</v>
      </c>
      <c r="AD47" s="229">
        <f>'VI-LP-25'!AB49</f>
        <v>0</v>
      </c>
      <c r="AE47" s="229">
        <f>'VI-LP-26'!AB49</f>
        <v>0</v>
      </c>
      <c r="AF47" s="230">
        <f>'VI-LP-27'!AB49</f>
        <v>0</v>
      </c>
      <c r="AG47" s="229">
        <f>'VI-LP-28'!AB49</f>
        <v>0</v>
      </c>
      <c r="AH47" s="229">
        <f>'VI-LP-29'!AB49</f>
        <v>0</v>
      </c>
      <c r="AI47" s="229">
        <f>'VI-LP-30'!AB49</f>
        <v>0</v>
      </c>
      <c r="AJ47" s="229">
        <f>'VI-LP-31'!AB49</f>
        <v>0</v>
      </c>
      <c r="AK47" s="229">
        <f>'VI-LP-32'!AB49</f>
        <v>0</v>
      </c>
      <c r="AL47" s="225">
        <f t="shared" si="2"/>
        <v>0</v>
      </c>
      <c r="AM47" s="226">
        <f t="shared" si="5"/>
        <v>0</v>
      </c>
      <c r="AN47" s="227" t="str">
        <f t="shared" si="6"/>
        <v>D</v>
      </c>
    </row>
    <row r="48" ht="24.75" customHeight="1">
      <c r="A48" s="231">
        <v>42.0</v>
      </c>
      <c r="B48" s="232"/>
      <c r="C48" s="223">
        <f>'VI-LP-1'!AB50</f>
        <v>0</v>
      </c>
      <c r="D48" s="224">
        <f>'VI-LP-2'!AB50</f>
        <v>0</v>
      </c>
      <c r="E48" s="224">
        <f>'VI-LP-3'!AB50</f>
        <v>0</v>
      </c>
      <c r="F48" s="224">
        <f>'VI-LP-4'!AB50</f>
        <v>0</v>
      </c>
      <c r="G48" s="224">
        <f>'VI-LP-5'!AB50</f>
        <v>0</v>
      </c>
      <c r="H48" s="224">
        <f>'VI-LP-6'!AB50</f>
        <v>0</v>
      </c>
      <c r="I48" s="224">
        <f>'VI-LP-7'!AB50</f>
        <v>0</v>
      </c>
      <c r="J48" s="224">
        <f>'VI-LP-8'!AB50</f>
        <v>0</v>
      </c>
      <c r="K48" s="224">
        <f>'VI-LP-9'!AB50</f>
        <v>0</v>
      </c>
      <c r="L48" s="224">
        <f>'VI-LP-10'!AB50</f>
        <v>0</v>
      </c>
      <c r="M48" s="224">
        <f>'VI-LP-11'!AB50</f>
        <v>0</v>
      </c>
      <c r="N48" s="224">
        <f>'VI-LP-12'!AB50</f>
        <v>0</v>
      </c>
      <c r="O48" s="224">
        <f>'VI-LP-13'!AB50</f>
        <v>0</v>
      </c>
      <c r="P48" s="224">
        <f>'VI-LP-14'!AB50</f>
        <v>0</v>
      </c>
      <c r="Q48" s="224">
        <f>'VI-LP-15'!AB50</f>
        <v>0</v>
      </c>
      <c r="R48" s="224">
        <f>'VI-LP-16'!AB50</f>
        <v>0</v>
      </c>
      <c r="S48" s="225">
        <f t="shared" si="1"/>
        <v>0</v>
      </c>
      <c r="T48" s="226">
        <f t="shared" si="3"/>
        <v>0</v>
      </c>
      <c r="U48" s="227" t="str">
        <f t="shared" si="4"/>
        <v>D</v>
      </c>
      <c r="V48" s="228">
        <f>'VI-LP-17'!AB50</f>
        <v>0</v>
      </c>
      <c r="W48" s="229">
        <f>'VI-LP-18'!AB50</f>
        <v>0</v>
      </c>
      <c r="X48" s="229">
        <f>'VI-LP-19'!AA50</f>
        <v>0</v>
      </c>
      <c r="Y48" s="229">
        <f>'VI-LP-20'!AB50</f>
        <v>0</v>
      </c>
      <c r="Z48" s="229">
        <f>'VI-LP-21'!AB50</f>
        <v>0</v>
      </c>
      <c r="AA48" s="229">
        <f>'VI-LP-22'!AB50</f>
        <v>0</v>
      </c>
      <c r="AB48" s="229">
        <f>'VI-LP-23'!AB50</f>
        <v>0</v>
      </c>
      <c r="AC48" s="229">
        <f>'VI-LP-24'!AB50</f>
        <v>0</v>
      </c>
      <c r="AD48" s="229">
        <f>'VI-LP-25'!AB50</f>
        <v>0</v>
      </c>
      <c r="AE48" s="229">
        <f>'VI-LP-26'!AB50</f>
        <v>0</v>
      </c>
      <c r="AF48" s="230">
        <f>'VI-LP-27'!AB50</f>
        <v>0</v>
      </c>
      <c r="AG48" s="229">
        <f>'VI-LP-28'!AB50</f>
        <v>0</v>
      </c>
      <c r="AH48" s="229">
        <f>'VI-LP-29'!AB50</f>
        <v>0</v>
      </c>
      <c r="AI48" s="229">
        <f>'VI-LP-30'!AB50</f>
        <v>0</v>
      </c>
      <c r="AJ48" s="229">
        <f>'VI-LP-31'!AB50</f>
        <v>0</v>
      </c>
      <c r="AK48" s="229">
        <f>'VI-LP-32'!AB50</f>
        <v>0</v>
      </c>
      <c r="AL48" s="225">
        <f t="shared" si="2"/>
        <v>0</v>
      </c>
      <c r="AM48" s="226">
        <f t="shared" si="5"/>
        <v>0</v>
      </c>
      <c r="AN48" s="227" t="str">
        <f t="shared" si="6"/>
        <v>D</v>
      </c>
    </row>
    <row r="49" ht="24.75" customHeight="1">
      <c r="A49" s="231">
        <v>43.0</v>
      </c>
      <c r="B49" s="232"/>
      <c r="C49" s="223">
        <f>'VI-LP-1'!AB51</f>
        <v>0</v>
      </c>
      <c r="D49" s="224">
        <f>'VI-LP-2'!AB51</f>
        <v>0</v>
      </c>
      <c r="E49" s="224">
        <f>'VI-LP-3'!AB51</f>
        <v>0</v>
      </c>
      <c r="F49" s="224">
        <f>'VI-LP-4'!AB51</f>
        <v>0</v>
      </c>
      <c r="G49" s="224">
        <f>'VI-LP-5'!AB51</f>
        <v>0</v>
      </c>
      <c r="H49" s="224">
        <f>'VI-LP-6'!AB51</f>
        <v>0</v>
      </c>
      <c r="I49" s="224">
        <f>'VI-LP-7'!AB51</f>
        <v>0</v>
      </c>
      <c r="J49" s="224">
        <f>'VI-LP-8'!AB51</f>
        <v>0</v>
      </c>
      <c r="K49" s="224">
        <f>'VI-LP-9'!AB51</f>
        <v>0</v>
      </c>
      <c r="L49" s="224">
        <f>'VI-LP-10'!AB51</f>
        <v>0</v>
      </c>
      <c r="M49" s="224">
        <f>'VI-LP-11'!AB51</f>
        <v>0</v>
      </c>
      <c r="N49" s="224">
        <f>'VI-LP-12'!AB51</f>
        <v>0</v>
      </c>
      <c r="O49" s="224">
        <f>'VI-LP-13'!AB51</f>
        <v>0</v>
      </c>
      <c r="P49" s="224">
        <f>'VI-LP-14'!AB51</f>
        <v>0</v>
      </c>
      <c r="Q49" s="224">
        <f>'VI-LP-15'!AB51</f>
        <v>0</v>
      </c>
      <c r="R49" s="224">
        <f>'VI-LP-16'!AB51</f>
        <v>0</v>
      </c>
      <c r="S49" s="225">
        <f t="shared" si="1"/>
        <v>0</v>
      </c>
      <c r="T49" s="226">
        <f t="shared" si="3"/>
        <v>0</v>
      </c>
      <c r="U49" s="227" t="str">
        <f t="shared" si="4"/>
        <v>D</v>
      </c>
      <c r="V49" s="228">
        <f>'VI-LP-17'!AB51</f>
        <v>0</v>
      </c>
      <c r="W49" s="229">
        <f>'VI-LP-18'!AB51</f>
        <v>0</v>
      </c>
      <c r="X49" s="229">
        <f>'VI-LP-19'!AA51</f>
        <v>0</v>
      </c>
      <c r="Y49" s="229">
        <f>'VI-LP-20'!AB51</f>
        <v>0</v>
      </c>
      <c r="Z49" s="229">
        <f>'VI-LP-21'!AB51</f>
        <v>0</v>
      </c>
      <c r="AA49" s="229">
        <f>'VI-LP-22'!AB51</f>
        <v>0</v>
      </c>
      <c r="AB49" s="229">
        <f>'VI-LP-23'!AB51</f>
        <v>0</v>
      </c>
      <c r="AC49" s="229">
        <f>'VI-LP-24'!AB51</f>
        <v>0</v>
      </c>
      <c r="AD49" s="229">
        <f>'VI-LP-25'!AB51</f>
        <v>0</v>
      </c>
      <c r="AE49" s="229">
        <f>'VI-LP-26'!AB51</f>
        <v>0</v>
      </c>
      <c r="AF49" s="230">
        <f>'VI-LP-27'!AB51</f>
        <v>0</v>
      </c>
      <c r="AG49" s="229">
        <f>'VI-LP-28'!AB51</f>
        <v>0</v>
      </c>
      <c r="AH49" s="229">
        <f>'VI-LP-29'!AB51</f>
        <v>0</v>
      </c>
      <c r="AI49" s="229">
        <f>'VI-LP-30'!AB51</f>
        <v>0</v>
      </c>
      <c r="AJ49" s="229">
        <f>'VI-LP-31'!AB51</f>
        <v>0</v>
      </c>
      <c r="AK49" s="229">
        <f>'VI-LP-32'!AB51</f>
        <v>0</v>
      </c>
      <c r="AL49" s="225">
        <f t="shared" si="2"/>
        <v>0</v>
      </c>
      <c r="AM49" s="226">
        <f t="shared" si="5"/>
        <v>0</v>
      </c>
      <c r="AN49" s="227" t="str">
        <f t="shared" si="6"/>
        <v>D</v>
      </c>
    </row>
    <row r="50" ht="24.75" customHeight="1">
      <c r="A50" s="231">
        <v>44.0</v>
      </c>
      <c r="B50" s="232"/>
      <c r="C50" s="223">
        <f>'VI-LP-1'!AB52</f>
        <v>0</v>
      </c>
      <c r="D50" s="224">
        <f>'VI-LP-2'!AB52</f>
        <v>0</v>
      </c>
      <c r="E50" s="224">
        <f>'VI-LP-3'!AB52</f>
        <v>0</v>
      </c>
      <c r="F50" s="224">
        <f>'VI-LP-4'!AB52</f>
        <v>0</v>
      </c>
      <c r="G50" s="224">
        <f>'VI-LP-5'!AB52</f>
        <v>0</v>
      </c>
      <c r="H50" s="224">
        <f>'VI-LP-6'!AB52</f>
        <v>0</v>
      </c>
      <c r="I50" s="224">
        <f>'VI-LP-7'!AB52</f>
        <v>0</v>
      </c>
      <c r="J50" s="224">
        <f>'VI-LP-8'!AB52</f>
        <v>0</v>
      </c>
      <c r="K50" s="224">
        <f>'VI-LP-9'!AB52</f>
        <v>0</v>
      </c>
      <c r="L50" s="224">
        <f>'VI-LP-10'!AB52</f>
        <v>0</v>
      </c>
      <c r="M50" s="224">
        <f>'VI-LP-11'!AB52</f>
        <v>0</v>
      </c>
      <c r="N50" s="224">
        <f>'VI-LP-12'!AB52</f>
        <v>0</v>
      </c>
      <c r="O50" s="224">
        <f>'VI-LP-13'!AB52</f>
        <v>0</v>
      </c>
      <c r="P50" s="224">
        <f>'VI-LP-14'!AB52</f>
        <v>0</v>
      </c>
      <c r="Q50" s="224">
        <f>'VI-LP-15'!AB52</f>
        <v>0</v>
      </c>
      <c r="R50" s="224">
        <f>'VI-LP-16'!AB52</f>
        <v>0</v>
      </c>
      <c r="S50" s="225">
        <f t="shared" si="1"/>
        <v>0</v>
      </c>
      <c r="T50" s="226">
        <f t="shared" si="3"/>
        <v>0</v>
      </c>
      <c r="U50" s="227" t="str">
        <f t="shared" si="4"/>
        <v>D</v>
      </c>
      <c r="V50" s="228">
        <f>'VI-LP-17'!AB52</f>
        <v>0</v>
      </c>
      <c r="W50" s="229">
        <f>'VI-LP-18'!AB52</f>
        <v>0</v>
      </c>
      <c r="X50" s="229">
        <f>'VI-LP-19'!AA52</f>
        <v>0</v>
      </c>
      <c r="Y50" s="229">
        <f>'VI-LP-20'!AB52</f>
        <v>0</v>
      </c>
      <c r="Z50" s="229">
        <f>'VI-LP-21'!AB52</f>
        <v>0</v>
      </c>
      <c r="AA50" s="229">
        <f>'VI-LP-22'!AB52</f>
        <v>0</v>
      </c>
      <c r="AB50" s="229">
        <f>'VI-LP-23'!AB52</f>
        <v>0</v>
      </c>
      <c r="AC50" s="229">
        <f>'VI-LP-24'!AB52</f>
        <v>0</v>
      </c>
      <c r="AD50" s="229">
        <f>'VI-LP-25'!AB52</f>
        <v>0</v>
      </c>
      <c r="AE50" s="229">
        <f>'VI-LP-26'!AB52</f>
        <v>0</v>
      </c>
      <c r="AF50" s="230">
        <f>'VI-LP-27'!AB52</f>
        <v>0</v>
      </c>
      <c r="AG50" s="229">
        <f>'VI-LP-28'!AB52</f>
        <v>0</v>
      </c>
      <c r="AH50" s="229">
        <f>'VI-LP-29'!AB52</f>
        <v>0</v>
      </c>
      <c r="AI50" s="229">
        <f>'VI-LP-30'!AB52</f>
        <v>0</v>
      </c>
      <c r="AJ50" s="229">
        <f>'VI-LP-31'!AB52</f>
        <v>0</v>
      </c>
      <c r="AK50" s="229">
        <f>'VI-LP-32'!AB52</f>
        <v>0</v>
      </c>
      <c r="AL50" s="225">
        <f t="shared" si="2"/>
        <v>0</v>
      </c>
      <c r="AM50" s="226">
        <f t="shared" si="5"/>
        <v>0</v>
      </c>
      <c r="AN50" s="227" t="str">
        <f t="shared" si="6"/>
        <v>D</v>
      </c>
    </row>
    <row r="51" ht="24.75" customHeight="1">
      <c r="A51" s="231">
        <v>45.0</v>
      </c>
      <c r="B51" s="232"/>
      <c r="C51" s="223">
        <f>'VI-LP-1'!AB53</f>
        <v>0</v>
      </c>
      <c r="D51" s="224">
        <f>'VI-LP-2'!AB53</f>
        <v>0</v>
      </c>
      <c r="E51" s="224">
        <f>'VI-LP-3'!AB53</f>
        <v>0</v>
      </c>
      <c r="F51" s="224">
        <f>'VI-LP-4'!AB53</f>
        <v>0</v>
      </c>
      <c r="G51" s="224">
        <f>'VI-LP-5'!AB53</f>
        <v>0</v>
      </c>
      <c r="H51" s="224">
        <f>'VI-LP-6'!AB53</f>
        <v>0</v>
      </c>
      <c r="I51" s="224">
        <f>'VI-LP-7'!AB53</f>
        <v>0</v>
      </c>
      <c r="J51" s="224">
        <f>'VI-LP-8'!AB53</f>
        <v>0</v>
      </c>
      <c r="K51" s="224">
        <f>'VI-LP-9'!AB53</f>
        <v>0</v>
      </c>
      <c r="L51" s="224">
        <f>'VI-LP-10'!AB53</f>
        <v>0</v>
      </c>
      <c r="M51" s="224">
        <f>'VI-LP-11'!AB53</f>
        <v>0</v>
      </c>
      <c r="N51" s="224">
        <f>'VI-LP-12'!AB53</f>
        <v>0</v>
      </c>
      <c r="O51" s="224">
        <f>'VI-LP-13'!AB53</f>
        <v>0</v>
      </c>
      <c r="P51" s="224">
        <f>'VI-LP-14'!AB53</f>
        <v>0</v>
      </c>
      <c r="Q51" s="224">
        <f>'VI-LP-15'!AB53</f>
        <v>0</v>
      </c>
      <c r="R51" s="224">
        <f>'VI-LP-16'!AB53</f>
        <v>0</v>
      </c>
      <c r="S51" s="225">
        <f t="shared" si="1"/>
        <v>0</v>
      </c>
      <c r="T51" s="226">
        <f t="shared" si="3"/>
        <v>0</v>
      </c>
      <c r="U51" s="227" t="str">
        <f t="shared" si="4"/>
        <v>D</v>
      </c>
      <c r="V51" s="228">
        <f>'VI-LP-17'!AB53</f>
        <v>0</v>
      </c>
      <c r="W51" s="229">
        <f>'VI-LP-18'!AB53</f>
        <v>0</v>
      </c>
      <c r="X51" s="229">
        <f>'VI-LP-19'!AA53</f>
        <v>0</v>
      </c>
      <c r="Y51" s="229">
        <f>'VI-LP-20'!AB53</f>
        <v>0</v>
      </c>
      <c r="Z51" s="229">
        <f>'VI-LP-21'!AB53</f>
        <v>0</v>
      </c>
      <c r="AA51" s="229">
        <f>'VI-LP-22'!AB53</f>
        <v>0</v>
      </c>
      <c r="AB51" s="229">
        <f>'VI-LP-23'!AB53</f>
        <v>0</v>
      </c>
      <c r="AC51" s="229">
        <f>'VI-LP-24'!AB53</f>
        <v>0</v>
      </c>
      <c r="AD51" s="229">
        <f>'VI-LP-25'!AB53</f>
        <v>0</v>
      </c>
      <c r="AE51" s="229">
        <f>'VI-LP-26'!AB53</f>
        <v>0</v>
      </c>
      <c r="AF51" s="230">
        <f>'VI-LP-27'!AB53</f>
        <v>0</v>
      </c>
      <c r="AG51" s="229">
        <f>'VI-LP-28'!AB53</f>
        <v>0</v>
      </c>
      <c r="AH51" s="229">
        <f>'VI-LP-29'!AB53</f>
        <v>0</v>
      </c>
      <c r="AI51" s="229">
        <f>'VI-LP-30'!AB53</f>
        <v>0</v>
      </c>
      <c r="AJ51" s="229">
        <f>'VI-LP-31'!AB53</f>
        <v>0</v>
      </c>
      <c r="AK51" s="229">
        <f>'VI-LP-32'!AB53</f>
        <v>0</v>
      </c>
      <c r="AL51" s="225">
        <f t="shared" si="2"/>
        <v>0</v>
      </c>
      <c r="AM51" s="226">
        <f t="shared" si="5"/>
        <v>0</v>
      </c>
      <c r="AN51" s="227" t="str">
        <f t="shared" si="6"/>
        <v>D</v>
      </c>
    </row>
    <row r="52" ht="24.75" customHeight="1">
      <c r="A52" s="231">
        <v>46.0</v>
      </c>
      <c r="B52" s="232"/>
      <c r="C52" s="223">
        <f>'VI-LP-1'!AB54</f>
        <v>0</v>
      </c>
      <c r="D52" s="224">
        <f>'VI-LP-2'!AB54</f>
        <v>0</v>
      </c>
      <c r="E52" s="224">
        <f>'VI-LP-3'!AB54</f>
        <v>0</v>
      </c>
      <c r="F52" s="224">
        <f>'VI-LP-4'!AB54</f>
        <v>0</v>
      </c>
      <c r="G52" s="224">
        <f>'VI-LP-5'!AB54</f>
        <v>0</v>
      </c>
      <c r="H52" s="224">
        <f>'VI-LP-6'!AB54</f>
        <v>0</v>
      </c>
      <c r="I52" s="224">
        <f>'VI-LP-7'!AB54</f>
        <v>0</v>
      </c>
      <c r="J52" s="224">
        <f>'VI-LP-8'!AB54</f>
        <v>0</v>
      </c>
      <c r="K52" s="224">
        <f>'VI-LP-9'!AB54</f>
        <v>0</v>
      </c>
      <c r="L52" s="224">
        <f>'VI-LP-10'!AB54</f>
        <v>0</v>
      </c>
      <c r="M52" s="224">
        <f>'VI-LP-11'!AB54</f>
        <v>0</v>
      </c>
      <c r="N52" s="224">
        <f>'VI-LP-12'!AB54</f>
        <v>0</v>
      </c>
      <c r="O52" s="224">
        <f>'VI-LP-13'!AB54</f>
        <v>0</v>
      </c>
      <c r="P52" s="224">
        <f>'VI-LP-14'!AB54</f>
        <v>0</v>
      </c>
      <c r="Q52" s="224">
        <f>'VI-LP-15'!AB54</f>
        <v>0</v>
      </c>
      <c r="R52" s="224">
        <f>'VI-LP-16'!AB54</f>
        <v>0</v>
      </c>
      <c r="S52" s="225">
        <f t="shared" si="1"/>
        <v>0</v>
      </c>
      <c r="T52" s="226">
        <f t="shared" si="3"/>
        <v>0</v>
      </c>
      <c r="U52" s="227" t="str">
        <f t="shared" si="4"/>
        <v>D</v>
      </c>
      <c r="V52" s="228">
        <f>'VI-LP-17'!AB54</f>
        <v>0</v>
      </c>
      <c r="W52" s="229">
        <f>'VI-LP-18'!AB54</f>
        <v>0</v>
      </c>
      <c r="X52" s="229">
        <f>'VI-LP-19'!AA54</f>
        <v>0</v>
      </c>
      <c r="Y52" s="229">
        <f>'VI-LP-20'!AB54</f>
        <v>0</v>
      </c>
      <c r="Z52" s="229">
        <f>'VI-LP-21'!AB54</f>
        <v>0</v>
      </c>
      <c r="AA52" s="229">
        <f>'VI-LP-22'!AB54</f>
        <v>0</v>
      </c>
      <c r="AB52" s="229">
        <f>'VI-LP-23'!AB54</f>
        <v>0</v>
      </c>
      <c r="AC52" s="229">
        <f>'VI-LP-24'!AB54</f>
        <v>0</v>
      </c>
      <c r="AD52" s="229">
        <f>'VI-LP-25'!AB54</f>
        <v>0</v>
      </c>
      <c r="AE52" s="229">
        <f>'VI-LP-26'!AB54</f>
        <v>0</v>
      </c>
      <c r="AF52" s="230">
        <f>'VI-LP-27'!AB54</f>
        <v>0</v>
      </c>
      <c r="AG52" s="229">
        <f>'VI-LP-28'!AB54</f>
        <v>0</v>
      </c>
      <c r="AH52" s="229">
        <f>'VI-LP-29'!AB54</f>
        <v>0</v>
      </c>
      <c r="AI52" s="229">
        <f>'VI-LP-30'!AB54</f>
        <v>0</v>
      </c>
      <c r="AJ52" s="229">
        <f>'VI-LP-31'!AB54</f>
        <v>0</v>
      </c>
      <c r="AK52" s="229">
        <f>'VI-LP-32'!AB54</f>
        <v>0</v>
      </c>
      <c r="AL52" s="225">
        <f t="shared" si="2"/>
        <v>0</v>
      </c>
      <c r="AM52" s="226">
        <f t="shared" si="5"/>
        <v>0</v>
      </c>
      <c r="AN52" s="227" t="str">
        <f t="shared" si="6"/>
        <v>D</v>
      </c>
    </row>
    <row r="53" ht="24.75" customHeight="1">
      <c r="A53" s="231">
        <v>47.0</v>
      </c>
      <c r="B53" s="232"/>
      <c r="C53" s="223">
        <f>'VI-LP-1'!AB55</f>
        <v>0</v>
      </c>
      <c r="D53" s="224">
        <f>'VI-LP-2'!AB55</f>
        <v>0</v>
      </c>
      <c r="E53" s="224">
        <f>'VI-LP-3'!AB55</f>
        <v>0</v>
      </c>
      <c r="F53" s="224">
        <f>'VI-LP-4'!AB55</f>
        <v>0</v>
      </c>
      <c r="G53" s="224">
        <f>'VI-LP-5'!AB55</f>
        <v>0</v>
      </c>
      <c r="H53" s="224">
        <f>'VI-LP-6'!AB55</f>
        <v>0</v>
      </c>
      <c r="I53" s="224">
        <f>'VI-LP-7'!AB55</f>
        <v>0</v>
      </c>
      <c r="J53" s="224">
        <f>'VI-LP-8'!AB55</f>
        <v>0</v>
      </c>
      <c r="K53" s="224">
        <f>'VI-LP-9'!AB55</f>
        <v>0</v>
      </c>
      <c r="L53" s="224">
        <f>'VI-LP-10'!AB55</f>
        <v>0</v>
      </c>
      <c r="M53" s="224">
        <f>'VI-LP-11'!AB55</f>
        <v>0</v>
      </c>
      <c r="N53" s="224">
        <f>'VI-LP-12'!AB55</f>
        <v>0</v>
      </c>
      <c r="O53" s="224">
        <f>'VI-LP-13'!AB55</f>
        <v>0</v>
      </c>
      <c r="P53" s="224">
        <f>'VI-LP-14'!AB55</f>
        <v>0</v>
      </c>
      <c r="Q53" s="224">
        <f>'VI-LP-15'!AB55</f>
        <v>0</v>
      </c>
      <c r="R53" s="224">
        <f>'VI-LP-16'!AB55</f>
        <v>0</v>
      </c>
      <c r="S53" s="225">
        <f t="shared" si="1"/>
        <v>0</v>
      </c>
      <c r="T53" s="226">
        <f t="shared" si="3"/>
        <v>0</v>
      </c>
      <c r="U53" s="227" t="str">
        <f t="shared" si="4"/>
        <v>D</v>
      </c>
      <c r="V53" s="228">
        <f>'VI-LP-17'!AB55</f>
        <v>0</v>
      </c>
      <c r="W53" s="229">
        <f>'VI-LP-18'!AB55</f>
        <v>0</v>
      </c>
      <c r="X53" s="229">
        <f>'VI-LP-19'!AA55</f>
        <v>0</v>
      </c>
      <c r="Y53" s="229">
        <f>'VI-LP-20'!AB55</f>
        <v>0</v>
      </c>
      <c r="Z53" s="229">
        <f>'VI-LP-21'!AB55</f>
        <v>0</v>
      </c>
      <c r="AA53" s="229">
        <f>'VI-LP-22'!AB55</f>
        <v>0</v>
      </c>
      <c r="AB53" s="229">
        <f>'VI-LP-23'!AB55</f>
        <v>0</v>
      </c>
      <c r="AC53" s="229">
        <f>'VI-LP-24'!AB55</f>
        <v>0</v>
      </c>
      <c r="AD53" s="229">
        <f>'VI-LP-25'!AB55</f>
        <v>0</v>
      </c>
      <c r="AE53" s="229">
        <f>'VI-LP-26'!AB55</f>
        <v>0</v>
      </c>
      <c r="AF53" s="230">
        <f>'VI-LP-27'!AB55</f>
        <v>0</v>
      </c>
      <c r="AG53" s="229">
        <f>'VI-LP-28'!AB55</f>
        <v>0</v>
      </c>
      <c r="AH53" s="229">
        <f>'VI-LP-29'!AB55</f>
        <v>0</v>
      </c>
      <c r="AI53" s="229">
        <f>'VI-LP-30'!AB55</f>
        <v>0</v>
      </c>
      <c r="AJ53" s="229">
        <f>'VI-LP-31'!AB55</f>
        <v>0</v>
      </c>
      <c r="AK53" s="229">
        <f>'VI-LP-32'!AB55</f>
        <v>0</v>
      </c>
      <c r="AL53" s="225">
        <f t="shared" si="2"/>
        <v>0</v>
      </c>
      <c r="AM53" s="226">
        <f t="shared" si="5"/>
        <v>0</v>
      </c>
      <c r="AN53" s="227" t="str">
        <f t="shared" si="6"/>
        <v>D</v>
      </c>
    </row>
    <row r="54" ht="24.75" customHeight="1">
      <c r="A54" s="231">
        <v>48.0</v>
      </c>
      <c r="B54" s="232"/>
      <c r="C54" s="223">
        <f>'VI-LP-1'!AB56</f>
        <v>0</v>
      </c>
      <c r="D54" s="224">
        <f>'VI-LP-2'!AB56</f>
        <v>0</v>
      </c>
      <c r="E54" s="224">
        <f>'VI-LP-3'!AB56</f>
        <v>0</v>
      </c>
      <c r="F54" s="224">
        <f>'VI-LP-4'!AB56</f>
        <v>0</v>
      </c>
      <c r="G54" s="224">
        <f>'VI-LP-5'!AB56</f>
        <v>0</v>
      </c>
      <c r="H54" s="224">
        <f>'VI-LP-6'!AB56</f>
        <v>0</v>
      </c>
      <c r="I54" s="224">
        <f>'VI-LP-7'!AB56</f>
        <v>0</v>
      </c>
      <c r="J54" s="224">
        <f>'VI-LP-8'!AB56</f>
        <v>0</v>
      </c>
      <c r="K54" s="224">
        <f>'VI-LP-9'!AB56</f>
        <v>0</v>
      </c>
      <c r="L54" s="224">
        <f>'VI-LP-10'!AB56</f>
        <v>0</v>
      </c>
      <c r="M54" s="224">
        <f>'VI-LP-11'!AB56</f>
        <v>0</v>
      </c>
      <c r="N54" s="224">
        <f>'VI-LP-12'!AB56</f>
        <v>0</v>
      </c>
      <c r="O54" s="224">
        <f>'VI-LP-13'!AB56</f>
        <v>0</v>
      </c>
      <c r="P54" s="224">
        <f>'VI-LP-14'!AB56</f>
        <v>0</v>
      </c>
      <c r="Q54" s="224">
        <f>'VI-LP-15'!AB56</f>
        <v>0</v>
      </c>
      <c r="R54" s="224">
        <f>'VI-LP-16'!AB56</f>
        <v>0</v>
      </c>
      <c r="S54" s="225">
        <f t="shared" si="1"/>
        <v>0</v>
      </c>
      <c r="T54" s="226">
        <f t="shared" si="3"/>
        <v>0</v>
      </c>
      <c r="U54" s="227" t="str">
        <f t="shared" si="4"/>
        <v>D</v>
      </c>
      <c r="V54" s="228">
        <f>'VI-LP-17'!AB56</f>
        <v>0</v>
      </c>
      <c r="W54" s="229">
        <f>'VI-LP-18'!AB56</f>
        <v>0</v>
      </c>
      <c r="X54" s="229">
        <f>'VI-LP-19'!AA56</f>
        <v>0</v>
      </c>
      <c r="Y54" s="229">
        <f>'VI-LP-20'!AB56</f>
        <v>0</v>
      </c>
      <c r="Z54" s="229">
        <f>'VI-LP-21'!AB56</f>
        <v>0</v>
      </c>
      <c r="AA54" s="229">
        <f>'VI-LP-22'!AB56</f>
        <v>0</v>
      </c>
      <c r="AB54" s="229">
        <f>'VI-LP-23'!AB56</f>
        <v>0</v>
      </c>
      <c r="AC54" s="229">
        <f>'VI-LP-24'!AB56</f>
        <v>0</v>
      </c>
      <c r="AD54" s="229">
        <f>'VI-LP-25'!AB56</f>
        <v>0</v>
      </c>
      <c r="AE54" s="229">
        <f>'VI-LP-26'!AB56</f>
        <v>0</v>
      </c>
      <c r="AF54" s="230">
        <f>'VI-LP-27'!AB56</f>
        <v>0</v>
      </c>
      <c r="AG54" s="229">
        <f>'VI-LP-28'!AB56</f>
        <v>0</v>
      </c>
      <c r="AH54" s="229">
        <f>'VI-LP-29'!AB56</f>
        <v>0</v>
      </c>
      <c r="AI54" s="229">
        <f>'VI-LP-30'!AB56</f>
        <v>0</v>
      </c>
      <c r="AJ54" s="229">
        <f>'VI-LP-31'!AB56</f>
        <v>0</v>
      </c>
      <c r="AK54" s="229">
        <f>'VI-LP-32'!AB56</f>
        <v>0</v>
      </c>
      <c r="AL54" s="225">
        <f t="shared" si="2"/>
        <v>0</v>
      </c>
      <c r="AM54" s="226">
        <f t="shared" si="5"/>
        <v>0</v>
      </c>
      <c r="AN54" s="227" t="str">
        <f t="shared" si="6"/>
        <v>D</v>
      </c>
    </row>
    <row r="55" ht="24.75" customHeight="1">
      <c r="A55" s="231">
        <v>49.0</v>
      </c>
      <c r="B55" s="232"/>
      <c r="C55" s="223">
        <f>'VI-LP-1'!AB57</f>
        <v>0</v>
      </c>
      <c r="D55" s="224">
        <f>'VI-LP-2'!AB57</f>
        <v>0</v>
      </c>
      <c r="E55" s="224">
        <f>'VI-LP-3'!AB57</f>
        <v>0</v>
      </c>
      <c r="F55" s="224">
        <f>'VI-LP-4'!AB57</f>
        <v>0</v>
      </c>
      <c r="G55" s="224">
        <f>'VI-LP-5'!AB57</f>
        <v>0</v>
      </c>
      <c r="H55" s="224">
        <f>'VI-LP-6'!AB57</f>
        <v>0</v>
      </c>
      <c r="I55" s="224">
        <f>'VI-LP-7'!AB57</f>
        <v>0</v>
      </c>
      <c r="J55" s="224">
        <f>'VI-LP-8'!AB57</f>
        <v>0</v>
      </c>
      <c r="K55" s="224">
        <f>'VI-LP-9'!AB57</f>
        <v>0</v>
      </c>
      <c r="L55" s="224">
        <f>'VI-LP-10'!AB57</f>
        <v>0</v>
      </c>
      <c r="M55" s="224">
        <f>'VI-LP-11'!AB57</f>
        <v>0</v>
      </c>
      <c r="N55" s="224">
        <f>'VI-LP-12'!AB57</f>
        <v>0</v>
      </c>
      <c r="O55" s="224">
        <f>'VI-LP-13'!AB57</f>
        <v>0</v>
      </c>
      <c r="P55" s="224">
        <f>'VI-LP-14'!AB57</f>
        <v>0</v>
      </c>
      <c r="Q55" s="224">
        <f>'VI-LP-15'!AB57</f>
        <v>0</v>
      </c>
      <c r="R55" s="224">
        <f>'VI-LP-16'!AB57</f>
        <v>0</v>
      </c>
      <c r="S55" s="225">
        <f t="shared" si="1"/>
        <v>0</v>
      </c>
      <c r="T55" s="226">
        <f t="shared" si="3"/>
        <v>0</v>
      </c>
      <c r="U55" s="227" t="str">
        <f t="shared" si="4"/>
        <v>D</v>
      </c>
      <c r="V55" s="228">
        <f>'VI-LP-17'!AB57</f>
        <v>0</v>
      </c>
      <c r="W55" s="229">
        <f>'VI-LP-18'!AB57</f>
        <v>0</v>
      </c>
      <c r="X55" s="229">
        <f>'VI-LP-19'!AA57</f>
        <v>0</v>
      </c>
      <c r="Y55" s="229">
        <f>'VI-LP-20'!AB57</f>
        <v>0</v>
      </c>
      <c r="Z55" s="229">
        <f>'VI-LP-21'!AB57</f>
        <v>0</v>
      </c>
      <c r="AA55" s="229">
        <f>'VI-LP-22'!AB57</f>
        <v>0</v>
      </c>
      <c r="AB55" s="229">
        <f>'VI-LP-23'!AB57</f>
        <v>0</v>
      </c>
      <c r="AC55" s="229">
        <f>'VI-LP-24'!AB57</f>
        <v>0</v>
      </c>
      <c r="AD55" s="229">
        <f>'VI-LP-25'!AB57</f>
        <v>0</v>
      </c>
      <c r="AE55" s="229">
        <f>'VI-LP-26'!AB57</f>
        <v>0</v>
      </c>
      <c r="AF55" s="230">
        <f>'VI-LP-27'!AB57</f>
        <v>0</v>
      </c>
      <c r="AG55" s="229">
        <f>'VI-LP-28'!AB57</f>
        <v>0</v>
      </c>
      <c r="AH55" s="229">
        <f>'VI-LP-29'!AB57</f>
        <v>0</v>
      </c>
      <c r="AI55" s="229">
        <f>'VI-LP-30'!AB57</f>
        <v>0</v>
      </c>
      <c r="AJ55" s="229">
        <f>'VI-LP-31'!AB57</f>
        <v>0</v>
      </c>
      <c r="AK55" s="229">
        <f>'VI-LP-32'!AB57</f>
        <v>0</v>
      </c>
      <c r="AL55" s="225">
        <f t="shared" si="2"/>
        <v>0</v>
      </c>
      <c r="AM55" s="226">
        <f t="shared" si="5"/>
        <v>0</v>
      </c>
      <c r="AN55" s="227" t="str">
        <f t="shared" si="6"/>
        <v>D</v>
      </c>
    </row>
    <row r="56" ht="24.75" customHeight="1">
      <c r="A56" s="233">
        <v>50.0</v>
      </c>
      <c r="B56" s="234"/>
      <c r="C56" s="223">
        <f>'VI-LP-1'!AB58</f>
        <v>0</v>
      </c>
      <c r="D56" s="224">
        <f>'VI-LP-2'!AB58</f>
        <v>0</v>
      </c>
      <c r="E56" s="224">
        <f>'VI-LP-3'!AB58</f>
        <v>0</v>
      </c>
      <c r="F56" s="224">
        <f>'VI-LP-4'!AB58</f>
        <v>0</v>
      </c>
      <c r="G56" s="224">
        <f>'VI-LP-5'!AB58</f>
        <v>0</v>
      </c>
      <c r="H56" s="224">
        <f>'VI-LP-6'!AB58</f>
        <v>0</v>
      </c>
      <c r="I56" s="224">
        <f>'VI-LP-7'!AB58</f>
        <v>0</v>
      </c>
      <c r="J56" s="224">
        <f>'VI-LP-8'!AB58</f>
        <v>0</v>
      </c>
      <c r="K56" s="224">
        <f>'VI-LP-9'!AB58</f>
        <v>0</v>
      </c>
      <c r="L56" s="224">
        <f>'VI-LP-10'!AB58</f>
        <v>0</v>
      </c>
      <c r="M56" s="224">
        <f>'VI-LP-11'!AB58</f>
        <v>0</v>
      </c>
      <c r="N56" s="224">
        <f>'VI-LP-12'!AB58</f>
        <v>0</v>
      </c>
      <c r="O56" s="224">
        <f>'VI-LP-13'!AB58</f>
        <v>0</v>
      </c>
      <c r="P56" s="224">
        <f>'VI-LP-14'!AB58</f>
        <v>0</v>
      </c>
      <c r="Q56" s="224">
        <f>'VI-LP-15'!AB58</f>
        <v>0</v>
      </c>
      <c r="R56" s="224">
        <f>'VI-LP-16'!AB58</f>
        <v>0</v>
      </c>
      <c r="S56" s="235">
        <f t="shared" si="1"/>
        <v>0</v>
      </c>
      <c r="T56" s="226">
        <f t="shared" si="3"/>
        <v>0</v>
      </c>
      <c r="U56" s="236" t="str">
        <f t="shared" si="4"/>
        <v>D</v>
      </c>
      <c r="V56" s="228">
        <f>'VI-LP-17'!AB58</f>
        <v>0</v>
      </c>
      <c r="W56" s="229">
        <f>'VI-LP-18'!AB58</f>
        <v>0</v>
      </c>
      <c r="X56" s="229">
        <f>'VI-LP-19'!AA58</f>
        <v>0</v>
      </c>
      <c r="Y56" s="229">
        <f>'VI-LP-20'!AB58</f>
        <v>0</v>
      </c>
      <c r="Z56" s="229">
        <f>'VI-LP-21'!AB58</f>
        <v>0</v>
      </c>
      <c r="AA56" s="229">
        <f>'VI-LP-22'!AB58</f>
        <v>0</v>
      </c>
      <c r="AB56" s="229">
        <f>'VI-LP-23'!AB58</f>
        <v>0</v>
      </c>
      <c r="AC56" s="229">
        <f>'VI-LP-24'!AB58</f>
        <v>0</v>
      </c>
      <c r="AD56" s="229">
        <f>'VI-LP-25'!AB58</f>
        <v>0</v>
      </c>
      <c r="AE56" s="229">
        <f>'VI-LP-26'!AB58</f>
        <v>0</v>
      </c>
      <c r="AF56" s="230">
        <f>'VI-LP-27'!AB58</f>
        <v>0</v>
      </c>
      <c r="AG56" s="229">
        <f>'VI-LP-28'!AB58</f>
        <v>0</v>
      </c>
      <c r="AH56" s="229">
        <f>'VI-LP-29'!AB58</f>
        <v>0</v>
      </c>
      <c r="AI56" s="229">
        <f>'VI-LP-30'!AB58</f>
        <v>0</v>
      </c>
      <c r="AJ56" s="229">
        <f>'VI-LP-31'!AB58</f>
        <v>0</v>
      </c>
      <c r="AK56" s="229">
        <f>'VI-LP-32'!AB58</f>
        <v>0</v>
      </c>
      <c r="AL56" s="235">
        <f t="shared" si="2"/>
        <v>0</v>
      </c>
      <c r="AM56" s="237">
        <f t="shared" si="5"/>
        <v>0</v>
      </c>
      <c r="AN56" s="236" t="str">
        <f t="shared" si="6"/>
        <v>D</v>
      </c>
    </row>
    <row r="57" ht="40.5" customHeight="1">
      <c r="A57" s="238" t="s">
        <v>352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ht="45.0" customHeight="1">
      <c r="A58" s="106"/>
      <c r="B58" s="106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</row>
    <row r="59" ht="15.75" customHeight="1">
      <c r="A59" s="106"/>
      <c r="B59" s="106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</row>
    <row r="60" ht="15.75" customHeight="1">
      <c r="A60" s="106"/>
      <c r="B60" s="106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</row>
    <row r="61" ht="15.75" customHeight="1">
      <c r="A61" s="106"/>
      <c r="B61" s="106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>
        <f>16*2</f>
        <v>32</v>
      </c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</row>
    <row r="62" ht="15.75" customHeight="1">
      <c r="A62" s="106"/>
      <c r="B62" s="106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</row>
    <row r="63" ht="15.75" customHeight="1">
      <c r="A63" s="106"/>
      <c r="B63" s="106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</row>
    <row r="64" ht="15.75" customHeight="1">
      <c r="A64" s="106"/>
      <c r="B64" s="106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</row>
    <row r="65" ht="15.75" customHeight="1">
      <c r="A65" s="106"/>
      <c r="B65" s="106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</row>
    <row r="66" ht="15.75" customHeight="1">
      <c r="A66" s="106"/>
      <c r="B66" s="239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</row>
    <row r="67" ht="15.75" customHeight="1">
      <c r="A67" s="106"/>
      <c r="B67" s="106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</row>
    <row r="68" ht="15.75" customHeight="1">
      <c r="A68" s="106"/>
      <c r="B68" s="106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</row>
    <row r="69" ht="15.75" customHeight="1">
      <c r="A69" s="106"/>
      <c r="B69" s="106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</row>
    <row r="70" ht="15.75" customHeight="1">
      <c r="A70" s="106"/>
      <c r="B70" s="106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</row>
    <row r="71" ht="15.75" customHeight="1">
      <c r="A71" s="106"/>
      <c r="B71" s="106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</row>
    <row r="72" ht="15.75" customHeight="1">
      <c r="A72" s="106"/>
      <c r="B72" s="106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</row>
    <row r="73" ht="15.75" customHeight="1">
      <c r="A73" s="106"/>
      <c r="B73" s="106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</row>
    <row r="74" ht="15.75" customHeight="1">
      <c r="A74" s="106"/>
      <c r="B74" s="106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</row>
    <row r="75" ht="15.75" customHeight="1">
      <c r="A75" s="106"/>
      <c r="B75" s="106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</row>
    <row r="76" ht="15.75" customHeight="1">
      <c r="A76" s="106"/>
      <c r="B76" s="106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</row>
    <row r="77" ht="15.75" customHeight="1">
      <c r="A77" s="106"/>
      <c r="B77" s="106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</row>
    <row r="78" ht="15.75" customHeight="1">
      <c r="A78" s="106"/>
      <c r="B78" s="106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</row>
    <row r="79" ht="15.75" customHeight="1">
      <c r="A79" s="106"/>
      <c r="B79" s="106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</row>
    <row r="80" ht="15.75" customHeight="1">
      <c r="A80" s="106"/>
      <c r="B80" s="106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</row>
    <row r="81" ht="15.75" customHeight="1">
      <c r="A81" s="106"/>
      <c r="B81" s="106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</row>
    <row r="82" ht="15.75" customHeight="1">
      <c r="A82" s="106"/>
      <c r="B82" s="106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</row>
    <row r="83" ht="15.75" customHeight="1">
      <c r="A83" s="106"/>
      <c r="B83" s="106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</row>
    <row r="84" ht="15.75" customHeight="1">
      <c r="A84" s="106"/>
      <c r="B84" s="106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</row>
    <row r="85" ht="15.75" customHeight="1">
      <c r="A85" s="106"/>
      <c r="B85" s="106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</row>
    <row r="86" ht="15.75" customHeight="1">
      <c r="A86" s="106"/>
      <c r="B86" s="106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</row>
    <row r="87" ht="15.75" customHeight="1">
      <c r="A87" s="106"/>
      <c r="B87" s="106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</row>
    <row r="88" ht="15.75" customHeight="1">
      <c r="A88" s="106"/>
      <c r="B88" s="106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</row>
    <row r="89" ht="15.75" customHeight="1">
      <c r="A89" s="106"/>
      <c r="B89" s="106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</row>
    <row r="90" ht="15.75" customHeight="1">
      <c r="A90" s="106"/>
      <c r="B90" s="106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</row>
    <row r="91" ht="15.75" customHeight="1">
      <c r="A91" s="106"/>
      <c r="B91" s="106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</row>
    <row r="92" ht="15.75" customHeight="1">
      <c r="A92" s="106"/>
      <c r="B92" s="106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</row>
    <row r="93" ht="15.75" customHeight="1">
      <c r="A93" s="106"/>
      <c r="B93" s="106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</row>
    <row r="94" ht="15.75" customHeight="1">
      <c r="A94" s="106"/>
      <c r="B94" s="106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</row>
    <row r="95" ht="15.75" customHeight="1">
      <c r="A95" s="106"/>
      <c r="B95" s="106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</row>
    <row r="96" ht="15.75" customHeight="1">
      <c r="A96" s="106"/>
      <c r="B96" s="106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</row>
    <row r="97" ht="15.75" customHeight="1">
      <c r="A97" s="106"/>
      <c r="B97" s="106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</row>
    <row r="98" ht="15.75" customHeight="1">
      <c r="A98" s="106"/>
      <c r="B98" s="106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</row>
    <row r="99" ht="15.75" customHeight="1">
      <c r="A99" s="106"/>
      <c r="B99" s="106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</row>
    <row r="100" ht="15.75" customHeight="1">
      <c r="A100" s="106"/>
      <c r="B100" s="106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</row>
    <row r="101" ht="15.75" customHeight="1">
      <c r="A101" s="106"/>
      <c r="B101" s="106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</row>
    <row r="102" ht="15.75" customHeight="1">
      <c r="A102" s="106"/>
      <c r="B102" s="106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</row>
    <row r="103" ht="15.75" customHeight="1">
      <c r="A103" s="106"/>
      <c r="B103" s="106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</row>
    <row r="104" ht="15.75" customHeight="1">
      <c r="A104" s="106"/>
      <c r="B104" s="106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</row>
    <row r="105" ht="15.75" customHeight="1">
      <c r="A105" s="106"/>
      <c r="B105" s="106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</row>
    <row r="106" ht="15.75" customHeight="1">
      <c r="A106" s="106"/>
      <c r="B106" s="106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</row>
    <row r="107" ht="15.75" customHeight="1">
      <c r="A107" s="106"/>
      <c r="B107" s="106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</row>
    <row r="108" ht="15.75" customHeight="1">
      <c r="A108" s="106"/>
      <c r="B108" s="106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</row>
    <row r="109" ht="15.75" customHeight="1">
      <c r="A109" s="106"/>
      <c r="B109" s="106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</row>
    <row r="110" ht="15.75" customHeight="1">
      <c r="A110" s="106"/>
      <c r="B110" s="106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</row>
    <row r="111" ht="15.75" customHeight="1">
      <c r="A111" s="106"/>
      <c r="B111" s="106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</row>
    <row r="112" ht="15.75" customHeight="1">
      <c r="A112" s="106"/>
      <c r="B112" s="106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</row>
    <row r="113" ht="15.75" customHeight="1">
      <c r="A113" s="106"/>
      <c r="B113" s="106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</row>
    <row r="114" ht="15.75" customHeight="1">
      <c r="A114" s="106"/>
      <c r="B114" s="106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</row>
    <row r="115" ht="15.75" customHeight="1">
      <c r="A115" s="106"/>
      <c r="B115" s="106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</row>
    <row r="116" ht="15.75" customHeight="1">
      <c r="A116" s="106"/>
      <c r="B116" s="106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</row>
    <row r="117" ht="15.75" customHeight="1">
      <c r="A117" s="145"/>
      <c r="B117" s="145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0"/>
      <c r="AB117" s="240"/>
      <c r="AC117" s="240"/>
      <c r="AD117" s="240"/>
      <c r="AE117" s="240"/>
      <c r="AF117" s="240"/>
      <c r="AG117" s="240"/>
      <c r="AH117" s="240"/>
      <c r="AI117" s="240"/>
      <c r="AJ117" s="240"/>
      <c r="AK117" s="240"/>
      <c r="AL117" s="240"/>
      <c r="AM117" s="240"/>
      <c r="AN117" s="240"/>
    </row>
    <row r="118" ht="15.75" customHeight="1">
      <c r="A118" s="145"/>
      <c r="B118" s="145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  <c r="AA118" s="240"/>
      <c r="AB118" s="240"/>
      <c r="AC118" s="240"/>
      <c r="AD118" s="240"/>
      <c r="AE118" s="240"/>
      <c r="AF118" s="240"/>
      <c r="AG118" s="240"/>
      <c r="AH118" s="240"/>
      <c r="AI118" s="240"/>
      <c r="AJ118" s="240"/>
      <c r="AK118" s="240"/>
      <c r="AL118" s="240"/>
      <c r="AM118" s="240"/>
      <c r="AN118" s="240"/>
    </row>
    <row r="119" ht="15.75" customHeight="1">
      <c r="A119" s="145"/>
      <c r="B119" s="145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  <c r="AB119" s="240"/>
      <c r="AC119" s="240"/>
      <c r="AD119" s="240"/>
      <c r="AE119" s="240"/>
      <c r="AF119" s="240"/>
      <c r="AG119" s="240"/>
      <c r="AH119" s="240"/>
      <c r="AI119" s="240"/>
      <c r="AJ119" s="240"/>
      <c r="AK119" s="240"/>
      <c r="AL119" s="240"/>
      <c r="AM119" s="240"/>
      <c r="AN119" s="240"/>
    </row>
    <row r="120" ht="15.75" customHeight="1">
      <c r="A120" s="145"/>
      <c r="B120" s="145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  <c r="AA120" s="240"/>
      <c r="AB120" s="240"/>
      <c r="AC120" s="240"/>
      <c r="AD120" s="240"/>
      <c r="AE120" s="240"/>
      <c r="AF120" s="240"/>
      <c r="AG120" s="240"/>
      <c r="AH120" s="240"/>
      <c r="AI120" s="240"/>
      <c r="AJ120" s="240"/>
      <c r="AK120" s="240"/>
      <c r="AL120" s="240"/>
      <c r="AM120" s="240"/>
      <c r="AN120" s="240"/>
    </row>
    <row r="121" ht="15.75" customHeight="1">
      <c r="A121" s="145"/>
      <c r="B121" s="145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  <c r="AB121" s="240"/>
      <c r="AC121" s="240"/>
      <c r="AD121" s="240"/>
      <c r="AE121" s="240"/>
      <c r="AF121" s="240"/>
      <c r="AG121" s="240"/>
      <c r="AH121" s="240"/>
      <c r="AI121" s="240"/>
      <c r="AJ121" s="240"/>
      <c r="AK121" s="240"/>
      <c r="AL121" s="240"/>
      <c r="AM121" s="240"/>
      <c r="AN121" s="240"/>
    </row>
    <row r="122" ht="15.75" customHeight="1">
      <c r="A122" s="145"/>
      <c r="B122" s="145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  <c r="AA122" s="240"/>
      <c r="AB122" s="240"/>
      <c r="AC122" s="240"/>
      <c r="AD122" s="240"/>
      <c r="AE122" s="240"/>
      <c r="AF122" s="240"/>
      <c r="AG122" s="240"/>
      <c r="AH122" s="240"/>
      <c r="AI122" s="240"/>
      <c r="AJ122" s="240"/>
      <c r="AK122" s="240"/>
      <c r="AL122" s="240"/>
      <c r="AM122" s="240"/>
      <c r="AN122" s="240"/>
    </row>
    <row r="123" ht="15.75" customHeight="1">
      <c r="A123" s="145"/>
      <c r="B123" s="145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</row>
    <row r="124" ht="15.75" customHeight="1">
      <c r="A124" s="145"/>
      <c r="B124" s="145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  <c r="AA124" s="240"/>
      <c r="AB124" s="240"/>
      <c r="AC124" s="240"/>
      <c r="AD124" s="240"/>
      <c r="AE124" s="240"/>
      <c r="AF124" s="240"/>
      <c r="AG124" s="240"/>
      <c r="AH124" s="240"/>
      <c r="AI124" s="240"/>
      <c r="AJ124" s="240"/>
      <c r="AK124" s="240"/>
      <c r="AL124" s="240"/>
      <c r="AM124" s="240"/>
      <c r="AN124" s="240"/>
    </row>
    <row r="125" ht="15.75" customHeight="1">
      <c r="A125" s="145"/>
      <c r="B125" s="145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0"/>
      <c r="AB125" s="240"/>
      <c r="AC125" s="240"/>
      <c r="AD125" s="240"/>
      <c r="AE125" s="240"/>
      <c r="AF125" s="240"/>
      <c r="AG125" s="240"/>
      <c r="AH125" s="240"/>
      <c r="AI125" s="240"/>
      <c r="AJ125" s="240"/>
      <c r="AK125" s="240"/>
      <c r="AL125" s="240"/>
      <c r="AM125" s="240"/>
      <c r="AN125" s="240"/>
    </row>
    <row r="126" ht="15.75" customHeight="1">
      <c r="A126" s="145"/>
      <c r="B126" s="145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  <c r="AA126" s="240"/>
      <c r="AB126" s="240"/>
      <c r="AC126" s="240"/>
      <c r="AD126" s="240"/>
      <c r="AE126" s="240"/>
      <c r="AF126" s="240"/>
      <c r="AG126" s="240"/>
      <c r="AH126" s="240"/>
      <c r="AI126" s="240"/>
      <c r="AJ126" s="240"/>
      <c r="AK126" s="240"/>
      <c r="AL126" s="240"/>
      <c r="AM126" s="240"/>
      <c r="AN126" s="240"/>
    </row>
    <row r="127" ht="15.75" customHeight="1">
      <c r="A127" s="145"/>
      <c r="B127" s="145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240"/>
    </row>
    <row r="128" ht="15.75" customHeight="1">
      <c r="A128" s="145"/>
      <c r="B128" s="145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  <c r="AA128" s="240"/>
      <c r="AB128" s="240"/>
      <c r="AC128" s="240"/>
      <c r="AD128" s="240"/>
      <c r="AE128" s="240"/>
      <c r="AF128" s="240"/>
      <c r="AG128" s="240"/>
      <c r="AH128" s="240"/>
      <c r="AI128" s="240"/>
      <c r="AJ128" s="240"/>
      <c r="AK128" s="240"/>
      <c r="AL128" s="240"/>
      <c r="AM128" s="240"/>
      <c r="AN128" s="240"/>
    </row>
    <row r="129" ht="15.75" customHeight="1">
      <c r="A129" s="145"/>
      <c r="B129" s="145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0"/>
      <c r="AF129" s="240"/>
      <c r="AG129" s="240"/>
      <c r="AH129" s="240"/>
      <c r="AI129" s="240"/>
      <c r="AJ129" s="240"/>
      <c r="AK129" s="240"/>
      <c r="AL129" s="240"/>
      <c r="AM129" s="240"/>
      <c r="AN129" s="240"/>
    </row>
    <row r="130" ht="15.75" customHeight="1">
      <c r="A130" s="145"/>
      <c r="B130" s="145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0"/>
      <c r="AB130" s="240"/>
      <c r="AC130" s="240"/>
      <c r="AD130" s="240"/>
      <c r="AE130" s="240"/>
      <c r="AF130" s="240"/>
      <c r="AG130" s="240"/>
      <c r="AH130" s="240"/>
      <c r="AI130" s="240"/>
      <c r="AJ130" s="240"/>
      <c r="AK130" s="240"/>
      <c r="AL130" s="240"/>
      <c r="AM130" s="240"/>
      <c r="AN130" s="240"/>
    </row>
    <row r="131" ht="15.75" customHeight="1">
      <c r="A131" s="145"/>
      <c r="B131" s="145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  <c r="AB131" s="240"/>
      <c r="AC131" s="240"/>
      <c r="AD131" s="240"/>
      <c r="AE131" s="240"/>
      <c r="AF131" s="240"/>
      <c r="AG131" s="240"/>
      <c r="AH131" s="240"/>
      <c r="AI131" s="240"/>
      <c r="AJ131" s="240"/>
      <c r="AK131" s="240"/>
      <c r="AL131" s="240"/>
      <c r="AM131" s="240"/>
      <c r="AN131" s="240"/>
    </row>
    <row r="132" ht="15.75" customHeight="1">
      <c r="A132" s="145"/>
      <c r="B132" s="145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0"/>
      <c r="AB132" s="240"/>
      <c r="AC132" s="240"/>
      <c r="AD132" s="240"/>
      <c r="AE132" s="240"/>
      <c r="AF132" s="240"/>
      <c r="AG132" s="240"/>
      <c r="AH132" s="240"/>
      <c r="AI132" s="240"/>
      <c r="AJ132" s="240"/>
      <c r="AK132" s="240"/>
      <c r="AL132" s="240"/>
      <c r="AM132" s="240"/>
      <c r="AN132" s="240"/>
    </row>
    <row r="133" ht="15.75" customHeight="1">
      <c r="A133" s="145"/>
      <c r="B133" s="145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0"/>
      <c r="AF133" s="240"/>
      <c r="AG133" s="240"/>
      <c r="AH133" s="240"/>
      <c r="AI133" s="240"/>
      <c r="AJ133" s="240"/>
      <c r="AK133" s="240"/>
      <c r="AL133" s="240"/>
      <c r="AM133" s="240"/>
      <c r="AN133" s="240"/>
    </row>
    <row r="134" ht="15.75" customHeight="1">
      <c r="A134" s="145"/>
      <c r="B134" s="145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  <c r="AD134" s="240"/>
      <c r="AE134" s="240"/>
      <c r="AF134" s="240"/>
      <c r="AG134" s="240"/>
      <c r="AH134" s="240"/>
      <c r="AI134" s="240"/>
      <c r="AJ134" s="240"/>
      <c r="AK134" s="240"/>
      <c r="AL134" s="240"/>
      <c r="AM134" s="240"/>
      <c r="AN134" s="240"/>
    </row>
    <row r="135" ht="15.75" customHeight="1">
      <c r="A135" s="145"/>
      <c r="B135" s="145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  <c r="AB135" s="240"/>
      <c r="AC135" s="240"/>
      <c r="AD135" s="240"/>
      <c r="AE135" s="240"/>
      <c r="AF135" s="240"/>
      <c r="AG135" s="240"/>
      <c r="AH135" s="240"/>
      <c r="AI135" s="240"/>
      <c r="AJ135" s="240"/>
      <c r="AK135" s="240"/>
      <c r="AL135" s="240"/>
      <c r="AM135" s="240"/>
      <c r="AN135" s="240"/>
    </row>
    <row r="136" ht="15.75" customHeight="1">
      <c r="A136" s="145"/>
      <c r="B136" s="145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0"/>
      <c r="AB136" s="240"/>
      <c r="AC136" s="240"/>
      <c r="AD136" s="240"/>
      <c r="AE136" s="240"/>
      <c r="AF136" s="240"/>
      <c r="AG136" s="240"/>
      <c r="AH136" s="240"/>
      <c r="AI136" s="240"/>
      <c r="AJ136" s="240"/>
      <c r="AK136" s="240"/>
      <c r="AL136" s="240"/>
      <c r="AM136" s="240"/>
      <c r="AN136" s="240"/>
    </row>
    <row r="137" ht="15.75" customHeight="1">
      <c r="A137" s="145"/>
      <c r="B137" s="145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  <c r="AB137" s="240"/>
      <c r="AC137" s="240"/>
      <c r="AD137" s="240"/>
      <c r="AE137" s="240"/>
      <c r="AF137" s="240"/>
      <c r="AG137" s="240"/>
      <c r="AH137" s="240"/>
      <c r="AI137" s="240"/>
      <c r="AJ137" s="240"/>
      <c r="AK137" s="240"/>
      <c r="AL137" s="240"/>
      <c r="AM137" s="240"/>
      <c r="AN137" s="240"/>
    </row>
    <row r="138" ht="15.75" customHeight="1">
      <c r="A138" s="145"/>
      <c r="B138" s="145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  <c r="AA138" s="240"/>
      <c r="AB138" s="240"/>
      <c r="AC138" s="240"/>
      <c r="AD138" s="240"/>
      <c r="AE138" s="240"/>
      <c r="AF138" s="240"/>
      <c r="AG138" s="240"/>
      <c r="AH138" s="240"/>
      <c r="AI138" s="240"/>
      <c r="AJ138" s="240"/>
      <c r="AK138" s="240"/>
      <c r="AL138" s="240"/>
      <c r="AM138" s="240"/>
      <c r="AN138" s="240"/>
    </row>
    <row r="139" ht="15.75" customHeight="1">
      <c r="A139" s="145"/>
      <c r="B139" s="145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0"/>
      <c r="AB139" s="240"/>
      <c r="AC139" s="240"/>
      <c r="AD139" s="240"/>
      <c r="AE139" s="240"/>
      <c r="AF139" s="240"/>
      <c r="AG139" s="240"/>
      <c r="AH139" s="240"/>
      <c r="AI139" s="240"/>
      <c r="AJ139" s="240"/>
      <c r="AK139" s="240"/>
      <c r="AL139" s="240"/>
      <c r="AM139" s="240"/>
      <c r="AN139" s="240"/>
    </row>
    <row r="140" ht="15.75" customHeight="1">
      <c r="A140" s="145"/>
      <c r="B140" s="145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  <c r="AA140" s="240"/>
      <c r="AB140" s="240"/>
      <c r="AC140" s="240"/>
      <c r="AD140" s="240"/>
      <c r="AE140" s="240"/>
      <c r="AF140" s="240"/>
      <c r="AG140" s="240"/>
      <c r="AH140" s="240"/>
      <c r="AI140" s="240"/>
      <c r="AJ140" s="240"/>
      <c r="AK140" s="240"/>
      <c r="AL140" s="240"/>
      <c r="AM140" s="240"/>
      <c r="AN140" s="240"/>
    </row>
    <row r="141" ht="15.75" customHeight="1">
      <c r="A141" s="145"/>
      <c r="B141" s="145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  <c r="AB141" s="240"/>
      <c r="AC141" s="240"/>
      <c r="AD141" s="240"/>
      <c r="AE141" s="240"/>
      <c r="AF141" s="240"/>
      <c r="AG141" s="240"/>
      <c r="AH141" s="240"/>
      <c r="AI141" s="240"/>
      <c r="AJ141" s="240"/>
      <c r="AK141" s="240"/>
      <c r="AL141" s="240"/>
      <c r="AM141" s="240"/>
      <c r="AN141" s="240"/>
    </row>
    <row r="142" ht="15.75" customHeight="1">
      <c r="A142" s="145"/>
      <c r="B142" s="145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0"/>
      <c r="AB142" s="240"/>
      <c r="AC142" s="240"/>
      <c r="AD142" s="240"/>
      <c r="AE142" s="240"/>
      <c r="AF142" s="240"/>
      <c r="AG142" s="240"/>
      <c r="AH142" s="240"/>
      <c r="AI142" s="240"/>
      <c r="AJ142" s="240"/>
      <c r="AK142" s="240"/>
      <c r="AL142" s="240"/>
      <c r="AM142" s="240"/>
      <c r="AN142" s="240"/>
    </row>
    <row r="143" ht="15.75" customHeight="1">
      <c r="A143" s="145"/>
      <c r="B143" s="145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0"/>
      <c r="AB143" s="240"/>
      <c r="AC143" s="240"/>
      <c r="AD143" s="240"/>
      <c r="AE143" s="240"/>
      <c r="AF143" s="240"/>
      <c r="AG143" s="240"/>
      <c r="AH143" s="240"/>
      <c r="AI143" s="240"/>
      <c r="AJ143" s="240"/>
      <c r="AK143" s="240"/>
      <c r="AL143" s="240"/>
      <c r="AM143" s="240"/>
      <c r="AN143" s="240"/>
    </row>
    <row r="144" ht="15.75" customHeight="1">
      <c r="A144" s="145"/>
      <c r="B144" s="145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0"/>
      <c r="AB144" s="240"/>
      <c r="AC144" s="240"/>
      <c r="AD144" s="240"/>
      <c r="AE144" s="240"/>
      <c r="AF144" s="240"/>
      <c r="AG144" s="240"/>
      <c r="AH144" s="240"/>
      <c r="AI144" s="240"/>
      <c r="AJ144" s="240"/>
      <c r="AK144" s="240"/>
      <c r="AL144" s="240"/>
      <c r="AM144" s="240"/>
      <c r="AN144" s="240"/>
    </row>
    <row r="145" ht="15.75" customHeight="1">
      <c r="A145" s="145"/>
      <c r="B145" s="145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240"/>
    </row>
    <row r="146" ht="15.75" customHeight="1">
      <c r="A146" s="145"/>
      <c r="B146" s="145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  <c r="AB146" s="240"/>
      <c r="AC146" s="240"/>
      <c r="AD146" s="240"/>
      <c r="AE146" s="240"/>
      <c r="AF146" s="240"/>
      <c r="AG146" s="240"/>
      <c r="AH146" s="240"/>
      <c r="AI146" s="240"/>
      <c r="AJ146" s="240"/>
      <c r="AK146" s="240"/>
      <c r="AL146" s="240"/>
      <c r="AM146" s="240"/>
      <c r="AN146" s="240"/>
    </row>
    <row r="147" ht="15.75" customHeight="1">
      <c r="A147" s="145"/>
      <c r="B147" s="145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0"/>
      <c r="AF147" s="240"/>
      <c r="AG147" s="240"/>
      <c r="AH147" s="240"/>
      <c r="AI147" s="240"/>
      <c r="AJ147" s="240"/>
      <c r="AK147" s="240"/>
      <c r="AL147" s="240"/>
      <c r="AM147" s="240"/>
      <c r="AN147" s="240"/>
    </row>
    <row r="148" ht="15.75" customHeight="1">
      <c r="A148" s="145"/>
      <c r="B148" s="145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0"/>
      <c r="AB148" s="240"/>
      <c r="AC148" s="240"/>
      <c r="AD148" s="240"/>
      <c r="AE148" s="240"/>
      <c r="AF148" s="240"/>
      <c r="AG148" s="240"/>
      <c r="AH148" s="240"/>
      <c r="AI148" s="240"/>
      <c r="AJ148" s="240"/>
      <c r="AK148" s="240"/>
      <c r="AL148" s="240"/>
      <c r="AM148" s="240"/>
      <c r="AN148" s="240"/>
    </row>
    <row r="149" ht="15.75" customHeight="1">
      <c r="A149" s="145"/>
      <c r="B149" s="145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0"/>
      <c r="AF149" s="240"/>
      <c r="AG149" s="240"/>
      <c r="AH149" s="240"/>
      <c r="AI149" s="240"/>
      <c r="AJ149" s="240"/>
      <c r="AK149" s="240"/>
      <c r="AL149" s="240"/>
      <c r="AM149" s="240"/>
      <c r="AN149" s="240"/>
    </row>
    <row r="150" ht="15.75" customHeight="1">
      <c r="A150" s="145"/>
      <c r="B150" s="145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0"/>
      <c r="AB150" s="240"/>
      <c r="AC150" s="240"/>
      <c r="AD150" s="240"/>
      <c r="AE150" s="240"/>
      <c r="AF150" s="240"/>
      <c r="AG150" s="240"/>
      <c r="AH150" s="240"/>
      <c r="AI150" s="240"/>
      <c r="AJ150" s="240"/>
      <c r="AK150" s="240"/>
      <c r="AL150" s="240"/>
      <c r="AM150" s="240"/>
      <c r="AN150" s="240"/>
    </row>
    <row r="151" ht="15.75" customHeight="1">
      <c r="A151" s="145"/>
      <c r="B151" s="145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0"/>
      <c r="AF151" s="240"/>
      <c r="AG151" s="240"/>
      <c r="AH151" s="240"/>
      <c r="AI151" s="240"/>
      <c r="AJ151" s="240"/>
      <c r="AK151" s="240"/>
      <c r="AL151" s="240"/>
      <c r="AM151" s="240"/>
      <c r="AN151" s="240"/>
    </row>
    <row r="152" ht="15.75" customHeight="1">
      <c r="A152" s="145"/>
      <c r="B152" s="145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0"/>
      <c r="AB152" s="240"/>
      <c r="AC152" s="240"/>
      <c r="AD152" s="240"/>
      <c r="AE152" s="240"/>
      <c r="AF152" s="240"/>
      <c r="AG152" s="240"/>
      <c r="AH152" s="240"/>
      <c r="AI152" s="240"/>
      <c r="AJ152" s="240"/>
      <c r="AK152" s="240"/>
      <c r="AL152" s="240"/>
      <c r="AM152" s="240"/>
      <c r="AN152" s="240"/>
    </row>
    <row r="153" ht="15.75" customHeight="1">
      <c r="A153" s="145"/>
      <c r="B153" s="145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0"/>
      <c r="AF153" s="240"/>
      <c r="AG153" s="240"/>
      <c r="AH153" s="240"/>
      <c r="AI153" s="240"/>
      <c r="AJ153" s="240"/>
      <c r="AK153" s="240"/>
      <c r="AL153" s="240"/>
      <c r="AM153" s="240"/>
      <c r="AN153" s="240"/>
    </row>
    <row r="154" ht="15.75" customHeight="1">
      <c r="A154" s="145"/>
      <c r="B154" s="145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0"/>
      <c r="AB154" s="240"/>
      <c r="AC154" s="240"/>
      <c r="AD154" s="240"/>
      <c r="AE154" s="240"/>
      <c r="AF154" s="240"/>
      <c r="AG154" s="240"/>
      <c r="AH154" s="240"/>
      <c r="AI154" s="240"/>
      <c r="AJ154" s="240"/>
      <c r="AK154" s="240"/>
      <c r="AL154" s="240"/>
      <c r="AM154" s="240"/>
      <c r="AN154" s="240"/>
    </row>
    <row r="155" ht="15.75" customHeight="1">
      <c r="A155" s="145"/>
      <c r="B155" s="145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0"/>
      <c r="AB155" s="240"/>
      <c r="AC155" s="240"/>
      <c r="AD155" s="240"/>
      <c r="AE155" s="240"/>
      <c r="AF155" s="240"/>
      <c r="AG155" s="240"/>
      <c r="AH155" s="240"/>
      <c r="AI155" s="240"/>
      <c r="AJ155" s="240"/>
      <c r="AK155" s="240"/>
      <c r="AL155" s="240"/>
      <c r="AM155" s="240"/>
      <c r="AN155" s="240"/>
    </row>
    <row r="156" ht="15.75" customHeight="1">
      <c r="A156" s="145"/>
      <c r="B156" s="145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0"/>
      <c r="AB156" s="240"/>
      <c r="AC156" s="240"/>
      <c r="AD156" s="240"/>
      <c r="AE156" s="240"/>
      <c r="AF156" s="240"/>
      <c r="AG156" s="240"/>
      <c r="AH156" s="240"/>
      <c r="AI156" s="240"/>
      <c r="AJ156" s="240"/>
      <c r="AK156" s="240"/>
      <c r="AL156" s="240"/>
      <c r="AM156" s="240"/>
      <c r="AN156" s="240"/>
    </row>
    <row r="157" ht="15.75" customHeight="1">
      <c r="A157" s="145"/>
      <c r="B157" s="145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0"/>
      <c r="AB157" s="240"/>
      <c r="AC157" s="240"/>
      <c r="AD157" s="240"/>
      <c r="AE157" s="240"/>
      <c r="AF157" s="240"/>
      <c r="AG157" s="240"/>
      <c r="AH157" s="240"/>
      <c r="AI157" s="240"/>
      <c r="AJ157" s="240"/>
      <c r="AK157" s="240"/>
      <c r="AL157" s="240"/>
      <c r="AM157" s="240"/>
      <c r="AN157" s="240"/>
    </row>
    <row r="158" ht="15.75" customHeight="1">
      <c r="A158" s="145"/>
      <c r="B158" s="145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0"/>
      <c r="AB158" s="240"/>
      <c r="AC158" s="240"/>
      <c r="AD158" s="240"/>
      <c r="AE158" s="240"/>
      <c r="AF158" s="240"/>
      <c r="AG158" s="240"/>
      <c r="AH158" s="240"/>
      <c r="AI158" s="240"/>
      <c r="AJ158" s="240"/>
      <c r="AK158" s="240"/>
      <c r="AL158" s="240"/>
      <c r="AM158" s="240"/>
      <c r="AN158" s="240"/>
    </row>
    <row r="159" ht="15.75" customHeight="1">
      <c r="A159" s="145"/>
      <c r="B159" s="145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0"/>
      <c r="AB159" s="240"/>
      <c r="AC159" s="240"/>
      <c r="AD159" s="240"/>
      <c r="AE159" s="240"/>
      <c r="AF159" s="240"/>
      <c r="AG159" s="240"/>
      <c r="AH159" s="240"/>
      <c r="AI159" s="240"/>
      <c r="AJ159" s="240"/>
      <c r="AK159" s="240"/>
      <c r="AL159" s="240"/>
      <c r="AM159" s="240"/>
      <c r="AN159" s="240"/>
    </row>
    <row r="160" ht="15.75" customHeight="1">
      <c r="A160" s="145"/>
      <c r="B160" s="145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0"/>
      <c r="AB160" s="240"/>
      <c r="AC160" s="240"/>
      <c r="AD160" s="240"/>
      <c r="AE160" s="240"/>
      <c r="AF160" s="240"/>
      <c r="AG160" s="240"/>
      <c r="AH160" s="240"/>
      <c r="AI160" s="240"/>
      <c r="AJ160" s="240"/>
      <c r="AK160" s="240"/>
      <c r="AL160" s="240"/>
      <c r="AM160" s="240"/>
      <c r="AN160" s="240"/>
    </row>
    <row r="161" ht="15.75" customHeight="1">
      <c r="A161" s="145"/>
      <c r="B161" s="145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0"/>
      <c r="AB161" s="240"/>
      <c r="AC161" s="240"/>
      <c r="AD161" s="240"/>
      <c r="AE161" s="240"/>
      <c r="AF161" s="240"/>
      <c r="AG161" s="240"/>
      <c r="AH161" s="240"/>
      <c r="AI161" s="240"/>
      <c r="AJ161" s="240"/>
      <c r="AK161" s="240"/>
      <c r="AL161" s="240"/>
      <c r="AM161" s="240"/>
      <c r="AN161" s="240"/>
    </row>
    <row r="162" ht="15.75" customHeight="1">
      <c r="A162" s="145"/>
      <c r="B162" s="145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</row>
    <row r="163" ht="15.75" customHeight="1">
      <c r="A163" s="145"/>
      <c r="B163" s="145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0"/>
      <c r="AD163" s="240"/>
      <c r="AE163" s="240"/>
      <c r="AF163" s="240"/>
      <c r="AG163" s="240"/>
      <c r="AH163" s="240"/>
      <c r="AI163" s="240"/>
      <c r="AJ163" s="240"/>
      <c r="AK163" s="240"/>
      <c r="AL163" s="240"/>
      <c r="AM163" s="240"/>
      <c r="AN163" s="240"/>
    </row>
    <row r="164" ht="15.75" customHeight="1">
      <c r="A164" s="145"/>
      <c r="B164" s="145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0"/>
      <c r="AB164" s="240"/>
      <c r="AC164" s="240"/>
      <c r="AD164" s="240"/>
      <c r="AE164" s="240"/>
      <c r="AF164" s="240"/>
      <c r="AG164" s="240"/>
      <c r="AH164" s="240"/>
      <c r="AI164" s="240"/>
      <c r="AJ164" s="240"/>
      <c r="AK164" s="240"/>
      <c r="AL164" s="240"/>
      <c r="AM164" s="240"/>
      <c r="AN164" s="240"/>
    </row>
    <row r="165" ht="15.75" customHeight="1">
      <c r="A165" s="145"/>
      <c r="B165" s="145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0"/>
      <c r="AB165" s="240"/>
      <c r="AC165" s="240"/>
      <c r="AD165" s="240"/>
      <c r="AE165" s="240"/>
      <c r="AF165" s="240"/>
      <c r="AG165" s="240"/>
      <c r="AH165" s="240"/>
      <c r="AI165" s="240"/>
      <c r="AJ165" s="240"/>
      <c r="AK165" s="240"/>
      <c r="AL165" s="240"/>
      <c r="AM165" s="240"/>
      <c r="AN165" s="240"/>
    </row>
    <row r="166" ht="15.75" customHeight="1">
      <c r="A166" s="145"/>
      <c r="B166" s="145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0"/>
      <c r="AB166" s="240"/>
      <c r="AC166" s="240"/>
      <c r="AD166" s="240"/>
      <c r="AE166" s="240"/>
      <c r="AF166" s="240"/>
      <c r="AG166" s="240"/>
      <c r="AH166" s="240"/>
      <c r="AI166" s="240"/>
      <c r="AJ166" s="240"/>
      <c r="AK166" s="240"/>
      <c r="AL166" s="240"/>
      <c r="AM166" s="240"/>
      <c r="AN166" s="240"/>
    </row>
    <row r="167" ht="15.75" customHeight="1">
      <c r="A167" s="145"/>
      <c r="B167" s="145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0"/>
      <c r="AF167" s="240"/>
      <c r="AG167" s="240"/>
      <c r="AH167" s="240"/>
      <c r="AI167" s="240"/>
      <c r="AJ167" s="240"/>
      <c r="AK167" s="240"/>
      <c r="AL167" s="240"/>
      <c r="AM167" s="240"/>
      <c r="AN167" s="240"/>
    </row>
    <row r="168" ht="15.75" customHeight="1">
      <c r="A168" s="145"/>
      <c r="B168" s="145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0"/>
      <c r="AF168" s="240"/>
      <c r="AG168" s="240"/>
      <c r="AH168" s="240"/>
      <c r="AI168" s="240"/>
      <c r="AJ168" s="240"/>
      <c r="AK168" s="240"/>
      <c r="AL168" s="240"/>
      <c r="AM168" s="240"/>
      <c r="AN168" s="240"/>
    </row>
    <row r="169" ht="15.75" customHeight="1">
      <c r="A169" s="145"/>
      <c r="B169" s="145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0"/>
      <c r="AF169" s="240"/>
      <c r="AG169" s="240"/>
      <c r="AH169" s="240"/>
      <c r="AI169" s="240"/>
      <c r="AJ169" s="240"/>
      <c r="AK169" s="240"/>
      <c r="AL169" s="240"/>
      <c r="AM169" s="240"/>
      <c r="AN169" s="240"/>
    </row>
    <row r="170" ht="15.75" customHeight="1">
      <c r="A170" s="145"/>
      <c r="B170" s="145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</row>
    <row r="171" ht="15.75" customHeight="1">
      <c r="A171" s="145"/>
      <c r="B171" s="145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0"/>
      <c r="AB171" s="240"/>
      <c r="AC171" s="240"/>
      <c r="AD171" s="240"/>
      <c r="AE171" s="240"/>
      <c r="AF171" s="240"/>
      <c r="AG171" s="240"/>
      <c r="AH171" s="240"/>
      <c r="AI171" s="240"/>
      <c r="AJ171" s="240"/>
      <c r="AK171" s="240"/>
      <c r="AL171" s="240"/>
      <c r="AM171" s="240"/>
      <c r="AN171" s="240"/>
    </row>
    <row r="172" ht="15.75" customHeight="1">
      <c r="A172" s="145"/>
      <c r="B172" s="145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0"/>
      <c r="AB172" s="240"/>
      <c r="AC172" s="240"/>
      <c r="AD172" s="240"/>
      <c r="AE172" s="240"/>
      <c r="AF172" s="240"/>
      <c r="AG172" s="240"/>
      <c r="AH172" s="240"/>
      <c r="AI172" s="240"/>
      <c r="AJ172" s="240"/>
      <c r="AK172" s="240"/>
      <c r="AL172" s="240"/>
      <c r="AM172" s="240"/>
      <c r="AN172" s="240"/>
    </row>
    <row r="173" ht="15.75" customHeight="1">
      <c r="A173" s="145"/>
      <c r="B173" s="145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  <c r="AB173" s="240"/>
      <c r="AC173" s="240"/>
      <c r="AD173" s="240"/>
      <c r="AE173" s="240"/>
      <c r="AF173" s="240"/>
      <c r="AG173" s="240"/>
      <c r="AH173" s="240"/>
      <c r="AI173" s="240"/>
      <c r="AJ173" s="240"/>
      <c r="AK173" s="240"/>
      <c r="AL173" s="240"/>
      <c r="AM173" s="240"/>
      <c r="AN173" s="240"/>
    </row>
    <row r="174" ht="15.75" customHeight="1">
      <c r="A174" s="145"/>
      <c r="B174" s="145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</row>
    <row r="175" ht="15.75" customHeight="1">
      <c r="A175" s="145"/>
      <c r="B175" s="145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  <c r="AA175" s="240"/>
      <c r="AB175" s="240"/>
      <c r="AC175" s="240"/>
      <c r="AD175" s="240"/>
      <c r="AE175" s="240"/>
      <c r="AF175" s="240"/>
      <c r="AG175" s="240"/>
      <c r="AH175" s="240"/>
      <c r="AI175" s="240"/>
      <c r="AJ175" s="240"/>
      <c r="AK175" s="240"/>
      <c r="AL175" s="240"/>
      <c r="AM175" s="240"/>
      <c r="AN175" s="240"/>
    </row>
    <row r="176" ht="15.75" customHeight="1">
      <c r="A176" s="145"/>
      <c r="B176" s="145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  <c r="AA176" s="240"/>
      <c r="AB176" s="240"/>
      <c r="AC176" s="240"/>
      <c r="AD176" s="240"/>
      <c r="AE176" s="240"/>
      <c r="AF176" s="240"/>
      <c r="AG176" s="240"/>
      <c r="AH176" s="240"/>
      <c r="AI176" s="240"/>
      <c r="AJ176" s="240"/>
      <c r="AK176" s="240"/>
      <c r="AL176" s="240"/>
      <c r="AM176" s="240"/>
      <c r="AN176" s="240"/>
    </row>
    <row r="177" ht="15.75" customHeight="1">
      <c r="A177" s="145"/>
      <c r="B177" s="145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  <c r="AA177" s="240"/>
      <c r="AB177" s="240"/>
      <c r="AC177" s="240"/>
      <c r="AD177" s="240"/>
      <c r="AE177" s="240"/>
      <c r="AF177" s="240"/>
      <c r="AG177" s="240"/>
      <c r="AH177" s="240"/>
      <c r="AI177" s="240"/>
      <c r="AJ177" s="240"/>
      <c r="AK177" s="240"/>
      <c r="AL177" s="240"/>
      <c r="AM177" s="240"/>
      <c r="AN177" s="240"/>
    </row>
    <row r="178" ht="15.75" customHeight="1">
      <c r="A178" s="145"/>
      <c r="B178" s="145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  <c r="AA178" s="240"/>
      <c r="AB178" s="240"/>
      <c r="AC178" s="240"/>
      <c r="AD178" s="240"/>
      <c r="AE178" s="240"/>
      <c r="AF178" s="240"/>
      <c r="AG178" s="240"/>
      <c r="AH178" s="240"/>
      <c r="AI178" s="240"/>
      <c r="AJ178" s="240"/>
      <c r="AK178" s="240"/>
      <c r="AL178" s="240"/>
      <c r="AM178" s="240"/>
      <c r="AN178" s="240"/>
    </row>
    <row r="179" ht="15.75" customHeight="1">
      <c r="A179" s="145"/>
      <c r="B179" s="145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  <c r="AA179" s="240"/>
      <c r="AB179" s="240"/>
      <c r="AC179" s="240"/>
      <c r="AD179" s="240"/>
      <c r="AE179" s="240"/>
      <c r="AF179" s="240"/>
      <c r="AG179" s="240"/>
      <c r="AH179" s="240"/>
      <c r="AI179" s="240"/>
      <c r="AJ179" s="240"/>
      <c r="AK179" s="240"/>
      <c r="AL179" s="240"/>
      <c r="AM179" s="240"/>
      <c r="AN179" s="240"/>
    </row>
    <row r="180" ht="15.75" customHeight="1">
      <c r="A180" s="145"/>
      <c r="B180" s="145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</row>
    <row r="181" ht="15.75" customHeight="1">
      <c r="A181" s="145"/>
      <c r="B181" s="145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0"/>
      <c r="AB181" s="240"/>
      <c r="AC181" s="240"/>
      <c r="AD181" s="240"/>
      <c r="AE181" s="240"/>
      <c r="AF181" s="240"/>
      <c r="AG181" s="240"/>
      <c r="AH181" s="240"/>
      <c r="AI181" s="240"/>
      <c r="AJ181" s="240"/>
      <c r="AK181" s="240"/>
      <c r="AL181" s="240"/>
      <c r="AM181" s="240"/>
      <c r="AN181" s="240"/>
    </row>
    <row r="182" ht="15.75" customHeight="1">
      <c r="A182" s="145"/>
      <c r="B182" s="145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  <c r="AA182" s="240"/>
      <c r="AB182" s="240"/>
      <c r="AC182" s="240"/>
      <c r="AD182" s="240"/>
      <c r="AE182" s="240"/>
      <c r="AF182" s="240"/>
      <c r="AG182" s="240"/>
      <c r="AH182" s="240"/>
      <c r="AI182" s="240"/>
      <c r="AJ182" s="240"/>
      <c r="AK182" s="240"/>
      <c r="AL182" s="240"/>
      <c r="AM182" s="240"/>
      <c r="AN182" s="240"/>
    </row>
    <row r="183" ht="15.75" customHeight="1">
      <c r="A183" s="145"/>
      <c r="B183" s="145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  <c r="AA183" s="240"/>
      <c r="AB183" s="240"/>
      <c r="AC183" s="240"/>
      <c r="AD183" s="240"/>
      <c r="AE183" s="240"/>
      <c r="AF183" s="240"/>
      <c r="AG183" s="240"/>
      <c r="AH183" s="240"/>
      <c r="AI183" s="240"/>
      <c r="AJ183" s="240"/>
      <c r="AK183" s="240"/>
      <c r="AL183" s="240"/>
      <c r="AM183" s="240"/>
      <c r="AN183" s="240"/>
    </row>
    <row r="184" ht="15.75" customHeight="1">
      <c r="A184" s="145"/>
      <c r="B184" s="145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</row>
    <row r="185" ht="15.75" customHeight="1">
      <c r="A185" s="145"/>
      <c r="B185" s="145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0"/>
      <c r="AB185" s="240"/>
      <c r="AC185" s="240"/>
      <c r="AD185" s="240"/>
      <c r="AE185" s="240"/>
      <c r="AF185" s="240"/>
      <c r="AG185" s="240"/>
      <c r="AH185" s="240"/>
      <c r="AI185" s="240"/>
      <c r="AJ185" s="240"/>
      <c r="AK185" s="240"/>
      <c r="AL185" s="240"/>
      <c r="AM185" s="240"/>
      <c r="AN185" s="240"/>
    </row>
    <row r="186" ht="15.75" customHeight="1">
      <c r="A186" s="145"/>
      <c r="B186" s="145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  <c r="AA186" s="240"/>
      <c r="AB186" s="240"/>
      <c r="AC186" s="240"/>
      <c r="AD186" s="240"/>
      <c r="AE186" s="240"/>
      <c r="AF186" s="240"/>
      <c r="AG186" s="240"/>
      <c r="AH186" s="240"/>
      <c r="AI186" s="240"/>
      <c r="AJ186" s="240"/>
      <c r="AK186" s="240"/>
      <c r="AL186" s="240"/>
      <c r="AM186" s="240"/>
      <c r="AN186" s="240"/>
    </row>
    <row r="187" ht="15.75" customHeight="1">
      <c r="A187" s="145"/>
      <c r="B187" s="145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  <c r="AA187" s="240"/>
      <c r="AB187" s="240"/>
      <c r="AC187" s="240"/>
      <c r="AD187" s="240"/>
      <c r="AE187" s="240"/>
      <c r="AF187" s="240"/>
      <c r="AG187" s="240"/>
      <c r="AH187" s="240"/>
      <c r="AI187" s="240"/>
      <c r="AJ187" s="240"/>
      <c r="AK187" s="240"/>
      <c r="AL187" s="240"/>
      <c r="AM187" s="240"/>
      <c r="AN187" s="240"/>
    </row>
    <row r="188" ht="15.75" customHeight="1">
      <c r="A188" s="145"/>
      <c r="B188" s="145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</row>
    <row r="189" ht="15.75" customHeight="1">
      <c r="A189" s="145"/>
      <c r="B189" s="145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0"/>
      <c r="AB189" s="240"/>
      <c r="AC189" s="240"/>
      <c r="AD189" s="240"/>
      <c r="AE189" s="240"/>
      <c r="AF189" s="240"/>
      <c r="AG189" s="240"/>
      <c r="AH189" s="240"/>
      <c r="AI189" s="240"/>
      <c r="AJ189" s="240"/>
      <c r="AK189" s="240"/>
      <c r="AL189" s="240"/>
      <c r="AM189" s="240"/>
      <c r="AN189" s="240"/>
    </row>
    <row r="190" ht="15.75" customHeight="1">
      <c r="A190" s="145"/>
      <c r="B190" s="145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0"/>
      <c r="AB190" s="240"/>
      <c r="AC190" s="240"/>
      <c r="AD190" s="240"/>
      <c r="AE190" s="240"/>
      <c r="AF190" s="240"/>
      <c r="AG190" s="240"/>
      <c r="AH190" s="240"/>
      <c r="AI190" s="240"/>
      <c r="AJ190" s="240"/>
      <c r="AK190" s="240"/>
      <c r="AL190" s="240"/>
      <c r="AM190" s="240"/>
      <c r="AN190" s="240"/>
    </row>
    <row r="191" ht="15.75" customHeight="1">
      <c r="A191" s="145"/>
      <c r="B191" s="145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0"/>
      <c r="AB191" s="240"/>
      <c r="AC191" s="240"/>
      <c r="AD191" s="240"/>
      <c r="AE191" s="240"/>
      <c r="AF191" s="240"/>
      <c r="AG191" s="240"/>
      <c r="AH191" s="240"/>
      <c r="AI191" s="240"/>
      <c r="AJ191" s="240"/>
      <c r="AK191" s="240"/>
      <c r="AL191" s="240"/>
      <c r="AM191" s="240"/>
      <c r="AN191" s="240"/>
    </row>
    <row r="192" ht="15.75" customHeight="1">
      <c r="A192" s="145"/>
      <c r="B192" s="145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0"/>
      <c r="AB192" s="240"/>
      <c r="AC192" s="240"/>
      <c r="AD192" s="240"/>
      <c r="AE192" s="240"/>
      <c r="AF192" s="240"/>
      <c r="AG192" s="240"/>
      <c r="AH192" s="240"/>
      <c r="AI192" s="240"/>
      <c r="AJ192" s="240"/>
      <c r="AK192" s="240"/>
      <c r="AL192" s="240"/>
      <c r="AM192" s="240"/>
      <c r="AN192" s="240"/>
    </row>
    <row r="193" ht="15.75" customHeight="1">
      <c r="A193" s="145"/>
      <c r="B193" s="145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</row>
    <row r="194" ht="15.75" customHeight="1">
      <c r="A194" s="145"/>
      <c r="B194" s="145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  <c r="AA194" s="240"/>
      <c r="AB194" s="240"/>
      <c r="AC194" s="240"/>
      <c r="AD194" s="240"/>
      <c r="AE194" s="240"/>
      <c r="AF194" s="240"/>
      <c r="AG194" s="240"/>
      <c r="AH194" s="240"/>
      <c r="AI194" s="240"/>
      <c r="AJ194" s="240"/>
      <c r="AK194" s="240"/>
      <c r="AL194" s="240"/>
      <c r="AM194" s="240"/>
      <c r="AN194" s="240"/>
    </row>
    <row r="195" ht="15.75" customHeight="1">
      <c r="A195" s="145"/>
      <c r="B195" s="145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0"/>
      <c r="AB195" s="240"/>
      <c r="AC195" s="240"/>
      <c r="AD195" s="240"/>
      <c r="AE195" s="240"/>
      <c r="AF195" s="240"/>
      <c r="AG195" s="240"/>
      <c r="AH195" s="240"/>
      <c r="AI195" s="240"/>
      <c r="AJ195" s="240"/>
      <c r="AK195" s="240"/>
      <c r="AL195" s="240"/>
      <c r="AM195" s="240"/>
      <c r="AN195" s="240"/>
    </row>
    <row r="196" ht="15.75" customHeight="1">
      <c r="A196" s="145"/>
      <c r="B196" s="145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0"/>
      <c r="AB196" s="240"/>
      <c r="AC196" s="240"/>
      <c r="AD196" s="240"/>
      <c r="AE196" s="240"/>
      <c r="AF196" s="240"/>
      <c r="AG196" s="240"/>
      <c r="AH196" s="240"/>
      <c r="AI196" s="240"/>
      <c r="AJ196" s="240"/>
      <c r="AK196" s="240"/>
      <c r="AL196" s="240"/>
      <c r="AM196" s="240"/>
      <c r="AN196" s="240"/>
    </row>
    <row r="197" ht="15.75" customHeight="1">
      <c r="A197" s="145"/>
      <c r="B197" s="145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</row>
    <row r="198" ht="15.75" customHeight="1">
      <c r="A198" s="145"/>
      <c r="B198" s="145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  <c r="AB198" s="240"/>
      <c r="AC198" s="240"/>
      <c r="AD198" s="240"/>
      <c r="AE198" s="240"/>
      <c r="AF198" s="240"/>
      <c r="AG198" s="240"/>
      <c r="AH198" s="240"/>
      <c r="AI198" s="240"/>
      <c r="AJ198" s="240"/>
      <c r="AK198" s="240"/>
      <c r="AL198" s="240"/>
      <c r="AM198" s="240"/>
      <c r="AN198" s="240"/>
    </row>
    <row r="199" ht="15.75" customHeight="1">
      <c r="A199" s="145"/>
      <c r="B199" s="145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0"/>
      <c r="AB199" s="240"/>
      <c r="AC199" s="240"/>
      <c r="AD199" s="240"/>
      <c r="AE199" s="240"/>
      <c r="AF199" s="240"/>
      <c r="AG199" s="240"/>
      <c r="AH199" s="240"/>
      <c r="AI199" s="240"/>
      <c r="AJ199" s="240"/>
      <c r="AK199" s="240"/>
      <c r="AL199" s="240"/>
      <c r="AM199" s="240"/>
      <c r="AN199" s="240"/>
    </row>
    <row r="200" ht="15.75" customHeight="1">
      <c r="A200" s="145"/>
      <c r="B200" s="145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  <c r="AB200" s="240"/>
      <c r="AC200" s="240"/>
      <c r="AD200" s="240"/>
      <c r="AE200" s="240"/>
      <c r="AF200" s="240"/>
      <c r="AG200" s="240"/>
      <c r="AH200" s="240"/>
      <c r="AI200" s="240"/>
      <c r="AJ200" s="240"/>
      <c r="AK200" s="240"/>
      <c r="AL200" s="240"/>
      <c r="AM200" s="240"/>
      <c r="AN200" s="240"/>
    </row>
    <row r="201" ht="15.75" customHeight="1">
      <c r="A201" s="145"/>
      <c r="B201" s="145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0"/>
      <c r="AB201" s="240"/>
      <c r="AC201" s="240"/>
      <c r="AD201" s="240"/>
      <c r="AE201" s="240"/>
      <c r="AF201" s="240"/>
      <c r="AG201" s="240"/>
      <c r="AH201" s="240"/>
      <c r="AI201" s="240"/>
      <c r="AJ201" s="240"/>
      <c r="AK201" s="240"/>
      <c r="AL201" s="240"/>
      <c r="AM201" s="240"/>
      <c r="AN201" s="240"/>
    </row>
    <row r="202" ht="15.75" customHeight="1">
      <c r="A202" s="145"/>
      <c r="B202" s="145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0"/>
      <c r="AB202" s="240"/>
      <c r="AC202" s="240"/>
      <c r="AD202" s="240"/>
      <c r="AE202" s="240"/>
      <c r="AF202" s="240"/>
      <c r="AG202" s="240"/>
      <c r="AH202" s="240"/>
      <c r="AI202" s="240"/>
      <c r="AJ202" s="240"/>
      <c r="AK202" s="240"/>
      <c r="AL202" s="240"/>
      <c r="AM202" s="240"/>
      <c r="AN202" s="240"/>
    </row>
    <row r="203" ht="15.75" customHeight="1">
      <c r="A203" s="145"/>
      <c r="B203" s="145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  <c r="AB203" s="240"/>
      <c r="AC203" s="240"/>
      <c r="AD203" s="240"/>
      <c r="AE203" s="240"/>
      <c r="AF203" s="240"/>
      <c r="AG203" s="240"/>
      <c r="AH203" s="240"/>
      <c r="AI203" s="240"/>
      <c r="AJ203" s="240"/>
      <c r="AK203" s="240"/>
      <c r="AL203" s="240"/>
      <c r="AM203" s="240"/>
      <c r="AN203" s="240"/>
    </row>
    <row r="204" ht="15.75" customHeight="1">
      <c r="A204" s="145"/>
      <c r="B204" s="145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0"/>
      <c r="AB204" s="240"/>
      <c r="AC204" s="240"/>
      <c r="AD204" s="240"/>
      <c r="AE204" s="240"/>
      <c r="AF204" s="240"/>
      <c r="AG204" s="240"/>
      <c r="AH204" s="240"/>
      <c r="AI204" s="240"/>
      <c r="AJ204" s="240"/>
      <c r="AK204" s="240"/>
      <c r="AL204" s="240"/>
      <c r="AM204" s="240"/>
      <c r="AN204" s="240"/>
    </row>
    <row r="205" ht="15.75" customHeight="1">
      <c r="A205" s="145"/>
      <c r="B205" s="145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  <c r="AB205" s="240"/>
      <c r="AC205" s="240"/>
      <c r="AD205" s="240"/>
      <c r="AE205" s="240"/>
      <c r="AF205" s="240"/>
      <c r="AG205" s="240"/>
      <c r="AH205" s="240"/>
      <c r="AI205" s="240"/>
      <c r="AJ205" s="240"/>
      <c r="AK205" s="240"/>
      <c r="AL205" s="240"/>
      <c r="AM205" s="240"/>
      <c r="AN205" s="240"/>
    </row>
    <row r="206" ht="15.75" customHeight="1">
      <c r="A206" s="145"/>
      <c r="B206" s="145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  <c r="AB206" s="240"/>
      <c r="AC206" s="240"/>
      <c r="AD206" s="240"/>
      <c r="AE206" s="240"/>
      <c r="AF206" s="240"/>
      <c r="AG206" s="240"/>
      <c r="AH206" s="240"/>
      <c r="AI206" s="240"/>
      <c r="AJ206" s="240"/>
      <c r="AK206" s="240"/>
      <c r="AL206" s="240"/>
      <c r="AM206" s="240"/>
      <c r="AN206" s="240"/>
    </row>
    <row r="207" ht="15.75" customHeight="1">
      <c r="A207" s="145"/>
      <c r="B207" s="145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0"/>
      <c r="AB207" s="240"/>
      <c r="AC207" s="240"/>
      <c r="AD207" s="240"/>
      <c r="AE207" s="240"/>
      <c r="AF207" s="240"/>
      <c r="AG207" s="240"/>
      <c r="AH207" s="240"/>
      <c r="AI207" s="240"/>
      <c r="AJ207" s="240"/>
      <c r="AK207" s="240"/>
      <c r="AL207" s="240"/>
      <c r="AM207" s="240"/>
      <c r="AN207" s="240"/>
    </row>
    <row r="208" ht="15.75" customHeight="1">
      <c r="A208" s="145"/>
      <c r="B208" s="145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  <c r="AB208" s="240"/>
      <c r="AC208" s="240"/>
      <c r="AD208" s="240"/>
      <c r="AE208" s="240"/>
      <c r="AF208" s="240"/>
      <c r="AG208" s="240"/>
      <c r="AH208" s="240"/>
      <c r="AI208" s="240"/>
      <c r="AJ208" s="240"/>
      <c r="AK208" s="240"/>
      <c r="AL208" s="240"/>
      <c r="AM208" s="240"/>
      <c r="AN208" s="240"/>
    </row>
    <row r="209" ht="15.75" customHeight="1">
      <c r="A209" s="145"/>
      <c r="B209" s="145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0"/>
      <c r="AB209" s="240"/>
      <c r="AC209" s="240"/>
      <c r="AD209" s="240"/>
      <c r="AE209" s="240"/>
      <c r="AF209" s="240"/>
      <c r="AG209" s="240"/>
      <c r="AH209" s="240"/>
      <c r="AI209" s="240"/>
      <c r="AJ209" s="240"/>
      <c r="AK209" s="240"/>
      <c r="AL209" s="240"/>
      <c r="AM209" s="240"/>
      <c r="AN209" s="240"/>
    </row>
    <row r="210" ht="15.75" customHeight="1">
      <c r="A210" s="145"/>
      <c r="B210" s="145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0"/>
      <c r="AB210" s="240"/>
      <c r="AC210" s="240"/>
      <c r="AD210" s="240"/>
      <c r="AE210" s="240"/>
      <c r="AF210" s="240"/>
      <c r="AG210" s="240"/>
      <c r="AH210" s="240"/>
      <c r="AI210" s="240"/>
      <c r="AJ210" s="240"/>
      <c r="AK210" s="240"/>
      <c r="AL210" s="240"/>
      <c r="AM210" s="240"/>
      <c r="AN210" s="240"/>
    </row>
    <row r="211" ht="15.75" customHeight="1">
      <c r="A211" s="145"/>
      <c r="B211" s="145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  <c r="AB211" s="240"/>
      <c r="AC211" s="240"/>
      <c r="AD211" s="240"/>
      <c r="AE211" s="240"/>
      <c r="AF211" s="240"/>
      <c r="AG211" s="240"/>
      <c r="AH211" s="240"/>
      <c r="AI211" s="240"/>
      <c r="AJ211" s="240"/>
      <c r="AK211" s="240"/>
      <c r="AL211" s="240"/>
      <c r="AM211" s="240"/>
      <c r="AN211" s="240"/>
    </row>
    <row r="212" ht="15.75" customHeight="1">
      <c r="A212" s="145"/>
      <c r="B212" s="145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  <c r="AB212" s="240"/>
      <c r="AC212" s="240"/>
      <c r="AD212" s="240"/>
      <c r="AE212" s="240"/>
      <c r="AF212" s="240"/>
      <c r="AG212" s="240"/>
      <c r="AH212" s="240"/>
      <c r="AI212" s="240"/>
      <c r="AJ212" s="240"/>
      <c r="AK212" s="240"/>
      <c r="AL212" s="240"/>
      <c r="AM212" s="240"/>
      <c r="AN212" s="240"/>
    </row>
    <row r="213" ht="15.75" customHeight="1">
      <c r="A213" s="145"/>
      <c r="B213" s="145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  <c r="AB213" s="240"/>
      <c r="AC213" s="240"/>
      <c r="AD213" s="240"/>
      <c r="AE213" s="240"/>
      <c r="AF213" s="240"/>
      <c r="AG213" s="240"/>
      <c r="AH213" s="240"/>
      <c r="AI213" s="240"/>
      <c r="AJ213" s="240"/>
      <c r="AK213" s="240"/>
      <c r="AL213" s="240"/>
      <c r="AM213" s="240"/>
      <c r="AN213" s="240"/>
    </row>
    <row r="214" ht="15.75" customHeight="1">
      <c r="A214" s="145"/>
      <c r="B214" s="145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  <c r="AB214" s="240"/>
      <c r="AC214" s="240"/>
      <c r="AD214" s="240"/>
      <c r="AE214" s="240"/>
      <c r="AF214" s="240"/>
      <c r="AG214" s="240"/>
      <c r="AH214" s="240"/>
      <c r="AI214" s="240"/>
      <c r="AJ214" s="240"/>
      <c r="AK214" s="240"/>
      <c r="AL214" s="240"/>
      <c r="AM214" s="240"/>
      <c r="AN214" s="240"/>
    </row>
    <row r="215" ht="15.75" customHeight="1">
      <c r="A215" s="145"/>
      <c r="B215" s="145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  <c r="AC215" s="240"/>
      <c r="AD215" s="240"/>
      <c r="AE215" s="240"/>
      <c r="AF215" s="240"/>
      <c r="AG215" s="240"/>
      <c r="AH215" s="240"/>
      <c r="AI215" s="240"/>
      <c r="AJ215" s="240"/>
      <c r="AK215" s="240"/>
      <c r="AL215" s="240"/>
      <c r="AM215" s="240"/>
      <c r="AN215" s="240"/>
    </row>
    <row r="216" ht="15.75" customHeight="1">
      <c r="A216" s="145"/>
      <c r="B216" s="145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  <c r="AC216" s="240"/>
      <c r="AD216" s="240"/>
      <c r="AE216" s="240"/>
      <c r="AF216" s="240"/>
      <c r="AG216" s="240"/>
      <c r="AH216" s="240"/>
      <c r="AI216" s="240"/>
      <c r="AJ216" s="240"/>
      <c r="AK216" s="240"/>
      <c r="AL216" s="240"/>
      <c r="AM216" s="240"/>
      <c r="AN216" s="240"/>
    </row>
    <row r="217" ht="15.75" customHeight="1">
      <c r="A217" s="145"/>
      <c r="B217" s="145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  <c r="AC217" s="240"/>
      <c r="AD217" s="240"/>
      <c r="AE217" s="240"/>
      <c r="AF217" s="240"/>
      <c r="AG217" s="240"/>
      <c r="AH217" s="240"/>
      <c r="AI217" s="240"/>
      <c r="AJ217" s="240"/>
      <c r="AK217" s="240"/>
      <c r="AL217" s="240"/>
      <c r="AM217" s="240"/>
      <c r="AN217" s="240"/>
    </row>
    <row r="218" ht="15.75" customHeight="1">
      <c r="A218" s="145"/>
      <c r="B218" s="145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  <c r="AC218" s="240"/>
      <c r="AD218" s="240"/>
      <c r="AE218" s="240"/>
      <c r="AF218" s="240"/>
      <c r="AG218" s="240"/>
      <c r="AH218" s="240"/>
      <c r="AI218" s="240"/>
      <c r="AJ218" s="240"/>
      <c r="AK218" s="240"/>
      <c r="AL218" s="240"/>
      <c r="AM218" s="240"/>
      <c r="AN218" s="240"/>
    </row>
    <row r="219" ht="15.75" customHeight="1">
      <c r="A219" s="145"/>
      <c r="B219" s="145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  <c r="AC219" s="240"/>
      <c r="AD219" s="240"/>
      <c r="AE219" s="240"/>
      <c r="AF219" s="240"/>
      <c r="AG219" s="240"/>
      <c r="AH219" s="240"/>
      <c r="AI219" s="240"/>
      <c r="AJ219" s="240"/>
      <c r="AK219" s="240"/>
      <c r="AL219" s="240"/>
      <c r="AM219" s="240"/>
      <c r="AN219" s="240"/>
    </row>
    <row r="220" ht="15.75" customHeight="1">
      <c r="A220" s="145"/>
      <c r="B220" s="145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0"/>
      <c r="AC220" s="240"/>
      <c r="AD220" s="240"/>
      <c r="AE220" s="240"/>
      <c r="AF220" s="240"/>
      <c r="AG220" s="240"/>
      <c r="AH220" s="240"/>
      <c r="AI220" s="240"/>
      <c r="AJ220" s="240"/>
      <c r="AK220" s="240"/>
      <c r="AL220" s="240"/>
      <c r="AM220" s="240"/>
      <c r="AN220" s="240"/>
    </row>
    <row r="221" ht="15.75" customHeight="1">
      <c r="A221" s="145"/>
      <c r="B221" s="145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  <c r="AB221" s="240"/>
      <c r="AC221" s="240"/>
      <c r="AD221" s="240"/>
      <c r="AE221" s="240"/>
      <c r="AF221" s="240"/>
      <c r="AG221" s="240"/>
      <c r="AH221" s="240"/>
      <c r="AI221" s="240"/>
      <c r="AJ221" s="240"/>
      <c r="AK221" s="240"/>
      <c r="AL221" s="240"/>
      <c r="AM221" s="240"/>
      <c r="AN221" s="240"/>
    </row>
    <row r="222" ht="15.75" customHeight="1">
      <c r="A222" s="145"/>
      <c r="B222" s="145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0"/>
      <c r="AB222" s="240"/>
      <c r="AC222" s="240"/>
      <c r="AD222" s="240"/>
      <c r="AE222" s="240"/>
      <c r="AF222" s="240"/>
      <c r="AG222" s="240"/>
      <c r="AH222" s="240"/>
      <c r="AI222" s="240"/>
      <c r="AJ222" s="240"/>
      <c r="AK222" s="240"/>
      <c r="AL222" s="240"/>
      <c r="AM222" s="240"/>
      <c r="AN222" s="240"/>
    </row>
    <row r="223" ht="15.75" customHeight="1">
      <c r="A223" s="145"/>
      <c r="B223" s="145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0"/>
      <c r="AB223" s="240"/>
      <c r="AC223" s="240"/>
      <c r="AD223" s="240"/>
      <c r="AE223" s="240"/>
      <c r="AF223" s="240"/>
      <c r="AG223" s="240"/>
      <c r="AH223" s="240"/>
      <c r="AI223" s="240"/>
      <c r="AJ223" s="240"/>
      <c r="AK223" s="240"/>
      <c r="AL223" s="240"/>
      <c r="AM223" s="240"/>
      <c r="AN223" s="240"/>
    </row>
    <row r="224" ht="15.75" customHeight="1">
      <c r="A224" s="145"/>
      <c r="B224" s="145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</row>
    <row r="225" ht="15.75" customHeight="1">
      <c r="A225" s="145"/>
      <c r="B225" s="145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0"/>
      <c r="AB225" s="240"/>
      <c r="AC225" s="240"/>
      <c r="AD225" s="240"/>
      <c r="AE225" s="240"/>
      <c r="AF225" s="240"/>
      <c r="AG225" s="240"/>
      <c r="AH225" s="240"/>
      <c r="AI225" s="240"/>
      <c r="AJ225" s="240"/>
      <c r="AK225" s="240"/>
      <c r="AL225" s="240"/>
      <c r="AM225" s="240"/>
      <c r="AN225" s="240"/>
    </row>
    <row r="226" ht="15.75" customHeight="1">
      <c r="A226" s="145"/>
      <c r="B226" s="145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0"/>
      <c r="AB226" s="240"/>
      <c r="AC226" s="240"/>
      <c r="AD226" s="240"/>
      <c r="AE226" s="240"/>
      <c r="AF226" s="240"/>
      <c r="AG226" s="240"/>
      <c r="AH226" s="240"/>
      <c r="AI226" s="240"/>
      <c r="AJ226" s="240"/>
      <c r="AK226" s="240"/>
      <c r="AL226" s="240"/>
      <c r="AM226" s="240"/>
      <c r="AN226" s="240"/>
    </row>
    <row r="227" ht="15.75" customHeight="1">
      <c r="A227" s="145"/>
      <c r="B227" s="145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  <c r="AB227" s="240"/>
      <c r="AC227" s="240"/>
      <c r="AD227" s="240"/>
      <c r="AE227" s="240"/>
      <c r="AF227" s="240"/>
      <c r="AG227" s="240"/>
      <c r="AH227" s="240"/>
      <c r="AI227" s="240"/>
      <c r="AJ227" s="240"/>
      <c r="AK227" s="240"/>
      <c r="AL227" s="240"/>
      <c r="AM227" s="240"/>
      <c r="AN227" s="240"/>
    </row>
    <row r="228" ht="15.75" customHeight="1">
      <c r="A228" s="145"/>
      <c r="B228" s="145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0"/>
      <c r="AB228" s="240"/>
      <c r="AC228" s="240"/>
      <c r="AD228" s="240"/>
      <c r="AE228" s="240"/>
      <c r="AF228" s="240"/>
      <c r="AG228" s="240"/>
      <c r="AH228" s="240"/>
      <c r="AI228" s="240"/>
      <c r="AJ228" s="240"/>
      <c r="AK228" s="240"/>
      <c r="AL228" s="240"/>
      <c r="AM228" s="240"/>
      <c r="AN228" s="240"/>
    </row>
    <row r="229" ht="15.75" customHeight="1">
      <c r="A229" s="145"/>
      <c r="B229" s="145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0"/>
      <c r="AB229" s="240"/>
      <c r="AC229" s="240"/>
      <c r="AD229" s="240"/>
      <c r="AE229" s="240"/>
      <c r="AF229" s="240"/>
      <c r="AG229" s="240"/>
      <c r="AH229" s="240"/>
      <c r="AI229" s="240"/>
      <c r="AJ229" s="240"/>
      <c r="AK229" s="240"/>
      <c r="AL229" s="240"/>
      <c r="AM229" s="240"/>
      <c r="AN229" s="240"/>
    </row>
    <row r="230" ht="15.75" customHeight="1">
      <c r="A230" s="145"/>
      <c r="B230" s="145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0"/>
      <c r="AB230" s="240"/>
      <c r="AC230" s="240"/>
      <c r="AD230" s="240"/>
      <c r="AE230" s="240"/>
      <c r="AF230" s="240"/>
      <c r="AG230" s="240"/>
      <c r="AH230" s="240"/>
      <c r="AI230" s="240"/>
      <c r="AJ230" s="240"/>
      <c r="AK230" s="240"/>
      <c r="AL230" s="240"/>
      <c r="AM230" s="240"/>
      <c r="AN230" s="240"/>
    </row>
    <row r="231" ht="15.75" customHeight="1">
      <c r="A231" s="145"/>
      <c r="B231" s="145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0"/>
      <c r="AB231" s="240"/>
      <c r="AC231" s="240"/>
      <c r="AD231" s="240"/>
      <c r="AE231" s="240"/>
      <c r="AF231" s="240"/>
      <c r="AG231" s="240"/>
      <c r="AH231" s="240"/>
      <c r="AI231" s="240"/>
      <c r="AJ231" s="240"/>
      <c r="AK231" s="240"/>
      <c r="AL231" s="240"/>
      <c r="AM231" s="240"/>
      <c r="AN231" s="240"/>
    </row>
    <row r="232" ht="15.75" customHeight="1">
      <c r="A232" s="145"/>
      <c r="B232" s="145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0"/>
      <c r="AB232" s="240"/>
      <c r="AC232" s="240"/>
      <c r="AD232" s="240"/>
      <c r="AE232" s="240"/>
      <c r="AF232" s="240"/>
      <c r="AG232" s="240"/>
      <c r="AH232" s="240"/>
      <c r="AI232" s="240"/>
      <c r="AJ232" s="240"/>
      <c r="AK232" s="240"/>
      <c r="AL232" s="240"/>
      <c r="AM232" s="240"/>
      <c r="AN232" s="240"/>
    </row>
    <row r="233" ht="15.75" customHeight="1">
      <c r="A233" s="145"/>
      <c r="B233" s="145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240"/>
      <c r="AC233" s="240"/>
      <c r="AD233" s="240"/>
      <c r="AE233" s="240"/>
      <c r="AF233" s="240"/>
      <c r="AG233" s="240"/>
      <c r="AH233" s="240"/>
      <c r="AI233" s="240"/>
      <c r="AJ233" s="240"/>
      <c r="AK233" s="240"/>
      <c r="AL233" s="240"/>
      <c r="AM233" s="240"/>
      <c r="AN233" s="240"/>
    </row>
    <row r="234" ht="15.75" customHeight="1">
      <c r="A234" s="145"/>
      <c r="B234" s="145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0"/>
      <c r="AB234" s="240"/>
      <c r="AC234" s="240"/>
      <c r="AD234" s="240"/>
      <c r="AE234" s="240"/>
      <c r="AF234" s="240"/>
      <c r="AG234" s="240"/>
      <c r="AH234" s="240"/>
      <c r="AI234" s="240"/>
      <c r="AJ234" s="240"/>
      <c r="AK234" s="240"/>
      <c r="AL234" s="240"/>
      <c r="AM234" s="240"/>
      <c r="AN234" s="240"/>
    </row>
    <row r="235" ht="15.75" customHeight="1">
      <c r="A235" s="145"/>
      <c r="B235" s="145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0"/>
      <c r="AB235" s="240"/>
      <c r="AC235" s="240"/>
      <c r="AD235" s="240"/>
      <c r="AE235" s="240"/>
      <c r="AF235" s="240"/>
      <c r="AG235" s="240"/>
      <c r="AH235" s="240"/>
      <c r="AI235" s="240"/>
      <c r="AJ235" s="240"/>
      <c r="AK235" s="240"/>
      <c r="AL235" s="240"/>
      <c r="AM235" s="240"/>
      <c r="AN235" s="240"/>
    </row>
    <row r="236" ht="15.75" customHeight="1">
      <c r="A236" s="145"/>
      <c r="B236" s="145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0"/>
      <c r="AB236" s="240"/>
      <c r="AC236" s="240"/>
      <c r="AD236" s="240"/>
      <c r="AE236" s="240"/>
      <c r="AF236" s="240"/>
      <c r="AG236" s="240"/>
      <c r="AH236" s="240"/>
      <c r="AI236" s="240"/>
      <c r="AJ236" s="240"/>
      <c r="AK236" s="240"/>
      <c r="AL236" s="240"/>
      <c r="AM236" s="240"/>
      <c r="AN236" s="240"/>
    </row>
    <row r="237" ht="15.75" customHeight="1">
      <c r="A237" s="145"/>
      <c r="B237" s="145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0"/>
      <c r="AB237" s="240"/>
      <c r="AC237" s="240"/>
      <c r="AD237" s="240"/>
      <c r="AE237" s="240"/>
      <c r="AF237" s="240"/>
      <c r="AG237" s="240"/>
      <c r="AH237" s="240"/>
      <c r="AI237" s="240"/>
      <c r="AJ237" s="240"/>
      <c r="AK237" s="240"/>
      <c r="AL237" s="240"/>
      <c r="AM237" s="240"/>
      <c r="AN237" s="240"/>
    </row>
    <row r="238" ht="15.75" customHeight="1">
      <c r="A238" s="145"/>
      <c r="B238" s="145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0"/>
      <c r="AB238" s="240"/>
      <c r="AC238" s="240"/>
      <c r="AD238" s="240"/>
      <c r="AE238" s="240"/>
      <c r="AF238" s="240"/>
      <c r="AG238" s="240"/>
      <c r="AH238" s="240"/>
      <c r="AI238" s="240"/>
      <c r="AJ238" s="240"/>
      <c r="AK238" s="240"/>
      <c r="AL238" s="240"/>
      <c r="AM238" s="240"/>
      <c r="AN238" s="240"/>
    </row>
    <row r="239" ht="15.75" customHeight="1">
      <c r="A239" s="145"/>
      <c r="B239" s="145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0"/>
      <c r="AB239" s="240"/>
      <c r="AC239" s="240"/>
      <c r="AD239" s="240"/>
      <c r="AE239" s="240"/>
      <c r="AF239" s="240"/>
      <c r="AG239" s="240"/>
      <c r="AH239" s="240"/>
      <c r="AI239" s="240"/>
      <c r="AJ239" s="240"/>
      <c r="AK239" s="240"/>
      <c r="AL239" s="240"/>
      <c r="AM239" s="240"/>
      <c r="AN239" s="240"/>
    </row>
    <row r="240" ht="15.75" customHeight="1">
      <c r="A240" s="145"/>
      <c r="B240" s="145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0"/>
      <c r="AB240" s="240"/>
      <c r="AC240" s="240"/>
      <c r="AD240" s="240"/>
      <c r="AE240" s="240"/>
      <c r="AF240" s="240"/>
      <c r="AG240" s="240"/>
      <c r="AH240" s="240"/>
      <c r="AI240" s="240"/>
      <c r="AJ240" s="240"/>
      <c r="AK240" s="240"/>
      <c r="AL240" s="240"/>
      <c r="AM240" s="240"/>
      <c r="AN240" s="240"/>
    </row>
    <row r="241" ht="15.75" customHeight="1">
      <c r="A241" s="145"/>
      <c r="B241" s="145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</row>
    <row r="242" ht="15.75" customHeight="1">
      <c r="A242" s="145"/>
      <c r="B242" s="145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0"/>
      <c r="AB242" s="240"/>
      <c r="AC242" s="240"/>
      <c r="AD242" s="240"/>
      <c r="AE242" s="240"/>
      <c r="AF242" s="240"/>
      <c r="AG242" s="240"/>
      <c r="AH242" s="240"/>
      <c r="AI242" s="240"/>
      <c r="AJ242" s="240"/>
      <c r="AK242" s="240"/>
      <c r="AL242" s="240"/>
      <c r="AM242" s="240"/>
      <c r="AN242" s="240"/>
    </row>
    <row r="243" ht="15.75" customHeight="1">
      <c r="A243" s="145"/>
      <c r="B243" s="145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  <c r="AA243" s="240"/>
      <c r="AB243" s="240"/>
      <c r="AC243" s="240"/>
      <c r="AD243" s="240"/>
      <c r="AE243" s="240"/>
      <c r="AF243" s="240"/>
      <c r="AG243" s="240"/>
      <c r="AH243" s="240"/>
      <c r="AI243" s="240"/>
      <c r="AJ243" s="240"/>
      <c r="AK243" s="240"/>
      <c r="AL243" s="240"/>
      <c r="AM243" s="240"/>
      <c r="AN243" s="240"/>
    </row>
    <row r="244" ht="15.75" customHeight="1">
      <c r="A244" s="145"/>
      <c r="B244" s="145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  <c r="AA244" s="240"/>
      <c r="AB244" s="240"/>
      <c r="AC244" s="240"/>
      <c r="AD244" s="240"/>
      <c r="AE244" s="240"/>
      <c r="AF244" s="240"/>
      <c r="AG244" s="240"/>
      <c r="AH244" s="240"/>
      <c r="AI244" s="240"/>
      <c r="AJ244" s="240"/>
      <c r="AK244" s="240"/>
      <c r="AL244" s="240"/>
      <c r="AM244" s="240"/>
      <c r="AN244" s="240"/>
    </row>
    <row r="245" ht="15.75" customHeight="1">
      <c r="A245" s="145"/>
      <c r="B245" s="145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  <c r="AB245" s="240"/>
      <c r="AC245" s="240"/>
      <c r="AD245" s="240"/>
      <c r="AE245" s="240"/>
      <c r="AF245" s="240"/>
      <c r="AG245" s="240"/>
      <c r="AH245" s="240"/>
      <c r="AI245" s="240"/>
      <c r="AJ245" s="240"/>
      <c r="AK245" s="240"/>
      <c r="AL245" s="240"/>
      <c r="AM245" s="240"/>
      <c r="AN245" s="240"/>
    </row>
    <row r="246" ht="15.75" customHeight="1">
      <c r="A246" s="145"/>
      <c r="B246" s="145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  <c r="AB246" s="240"/>
      <c r="AC246" s="240"/>
      <c r="AD246" s="240"/>
      <c r="AE246" s="240"/>
      <c r="AF246" s="240"/>
      <c r="AG246" s="240"/>
      <c r="AH246" s="240"/>
      <c r="AI246" s="240"/>
      <c r="AJ246" s="240"/>
      <c r="AK246" s="240"/>
      <c r="AL246" s="240"/>
      <c r="AM246" s="240"/>
      <c r="AN246" s="240"/>
    </row>
    <row r="247" ht="15.75" customHeight="1">
      <c r="A247" s="145"/>
      <c r="B247" s="145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  <c r="AA247" s="240"/>
      <c r="AB247" s="240"/>
      <c r="AC247" s="240"/>
      <c r="AD247" s="240"/>
      <c r="AE247" s="240"/>
      <c r="AF247" s="240"/>
      <c r="AG247" s="240"/>
      <c r="AH247" s="240"/>
      <c r="AI247" s="240"/>
      <c r="AJ247" s="240"/>
      <c r="AK247" s="240"/>
      <c r="AL247" s="240"/>
      <c r="AM247" s="240"/>
      <c r="AN247" s="240"/>
    </row>
    <row r="248" ht="15.75" customHeight="1">
      <c r="A248" s="145"/>
      <c r="B248" s="145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  <c r="AA248" s="240"/>
      <c r="AB248" s="240"/>
      <c r="AC248" s="240"/>
      <c r="AD248" s="240"/>
      <c r="AE248" s="240"/>
      <c r="AF248" s="240"/>
      <c r="AG248" s="240"/>
      <c r="AH248" s="240"/>
      <c r="AI248" s="240"/>
      <c r="AJ248" s="240"/>
      <c r="AK248" s="240"/>
      <c r="AL248" s="240"/>
      <c r="AM248" s="240"/>
      <c r="AN248" s="240"/>
    </row>
    <row r="249" ht="15.75" customHeight="1">
      <c r="A249" s="145"/>
      <c r="B249" s="145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  <c r="AA249" s="240"/>
      <c r="AB249" s="240"/>
      <c r="AC249" s="240"/>
      <c r="AD249" s="240"/>
      <c r="AE249" s="240"/>
      <c r="AF249" s="240"/>
      <c r="AG249" s="240"/>
      <c r="AH249" s="240"/>
      <c r="AI249" s="240"/>
      <c r="AJ249" s="240"/>
      <c r="AK249" s="240"/>
      <c r="AL249" s="240"/>
      <c r="AM249" s="240"/>
      <c r="AN249" s="240"/>
    </row>
    <row r="250" ht="15.75" customHeight="1">
      <c r="A250" s="145"/>
      <c r="B250" s="145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  <c r="AA250" s="240"/>
      <c r="AB250" s="240"/>
      <c r="AC250" s="240"/>
      <c r="AD250" s="240"/>
      <c r="AE250" s="240"/>
      <c r="AF250" s="240"/>
      <c r="AG250" s="240"/>
      <c r="AH250" s="240"/>
      <c r="AI250" s="240"/>
      <c r="AJ250" s="240"/>
      <c r="AK250" s="240"/>
      <c r="AL250" s="240"/>
      <c r="AM250" s="240"/>
      <c r="AN250" s="240"/>
    </row>
    <row r="251" ht="15.75" customHeight="1">
      <c r="A251" s="145"/>
      <c r="B251" s="145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  <c r="AA251" s="240"/>
      <c r="AB251" s="240"/>
      <c r="AC251" s="240"/>
      <c r="AD251" s="240"/>
      <c r="AE251" s="240"/>
      <c r="AF251" s="240"/>
      <c r="AG251" s="240"/>
      <c r="AH251" s="240"/>
      <c r="AI251" s="240"/>
      <c r="AJ251" s="240"/>
      <c r="AK251" s="240"/>
      <c r="AL251" s="240"/>
      <c r="AM251" s="240"/>
      <c r="AN251" s="240"/>
    </row>
    <row r="252" ht="15.75" customHeight="1">
      <c r="A252" s="145"/>
      <c r="B252" s="145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  <c r="AA252" s="240"/>
      <c r="AB252" s="240"/>
      <c r="AC252" s="240"/>
      <c r="AD252" s="240"/>
      <c r="AE252" s="240"/>
      <c r="AF252" s="240"/>
      <c r="AG252" s="240"/>
      <c r="AH252" s="240"/>
      <c r="AI252" s="240"/>
      <c r="AJ252" s="240"/>
      <c r="AK252" s="240"/>
      <c r="AL252" s="240"/>
      <c r="AM252" s="240"/>
      <c r="AN252" s="240"/>
    </row>
    <row r="253" ht="15.75" customHeight="1">
      <c r="A253" s="145"/>
      <c r="B253" s="145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  <c r="AB253" s="240"/>
      <c r="AC253" s="240"/>
      <c r="AD253" s="240"/>
      <c r="AE253" s="240"/>
      <c r="AF253" s="240"/>
      <c r="AG253" s="240"/>
      <c r="AH253" s="240"/>
      <c r="AI253" s="240"/>
      <c r="AJ253" s="240"/>
      <c r="AK253" s="240"/>
      <c r="AL253" s="240"/>
      <c r="AM253" s="240"/>
      <c r="AN253" s="240"/>
    </row>
    <row r="254" ht="15.75" customHeight="1">
      <c r="A254" s="145"/>
      <c r="B254" s="145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  <c r="AA254" s="240"/>
      <c r="AB254" s="240"/>
      <c r="AC254" s="240"/>
      <c r="AD254" s="240"/>
      <c r="AE254" s="240"/>
      <c r="AF254" s="240"/>
      <c r="AG254" s="240"/>
      <c r="AH254" s="240"/>
      <c r="AI254" s="240"/>
      <c r="AJ254" s="240"/>
      <c r="AK254" s="240"/>
      <c r="AL254" s="240"/>
      <c r="AM254" s="240"/>
      <c r="AN254" s="240"/>
    </row>
    <row r="255" ht="15.75" customHeight="1">
      <c r="A255" s="145"/>
      <c r="B255" s="145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  <c r="AA255" s="240"/>
      <c r="AB255" s="240"/>
      <c r="AC255" s="240"/>
      <c r="AD255" s="240"/>
      <c r="AE255" s="240"/>
      <c r="AF255" s="240"/>
      <c r="AG255" s="240"/>
      <c r="AH255" s="240"/>
      <c r="AI255" s="240"/>
      <c r="AJ255" s="240"/>
      <c r="AK255" s="240"/>
      <c r="AL255" s="240"/>
      <c r="AM255" s="240"/>
      <c r="AN255" s="240"/>
    </row>
    <row r="256" ht="15.75" customHeight="1">
      <c r="A256" s="145"/>
      <c r="B256" s="145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  <c r="AA256" s="240"/>
      <c r="AB256" s="240"/>
      <c r="AC256" s="240"/>
      <c r="AD256" s="240"/>
      <c r="AE256" s="240"/>
      <c r="AF256" s="240"/>
      <c r="AG256" s="240"/>
      <c r="AH256" s="240"/>
      <c r="AI256" s="240"/>
      <c r="AJ256" s="240"/>
      <c r="AK256" s="240"/>
      <c r="AL256" s="240"/>
      <c r="AM256" s="240"/>
      <c r="AN256" s="240"/>
    </row>
    <row r="257" ht="15.75" customHeight="1">
      <c r="A257" s="145"/>
      <c r="B257" s="145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  <c r="AA257" s="240"/>
      <c r="AB257" s="240"/>
      <c r="AC257" s="240"/>
      <c r="AD257" s="240"/>
      <c r="AE257" s="240"/>
      <c r="AF257" s="240"/>
      <c r="AG257" s="240"/>
      <c r="AH257" s="240"/>
      <c r="AI257" s="240"/>
      <c r="AJ257" s="240"/>
      <c r="AK257" s="240"/>
      <c r="AL257" s="240"/>
      <c r="AM257" s="240"/>
      <c r="AN257" s="240"/>
    </row>
    <row r="258" ht="15.75" customHeight="1">
      <c r="A258" s="145"/>
      <c r="B258" s="145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</row>
    <row r="259" ht="15.75" customHeight="1">
      <c r="A259" s="145"/>
      <c r="B259" s="145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  <c r="AA259" s="240"/>
      <c r="AB259" s="240"/>
      <c r="AC259" s="240"/>
      <c r="AD259" s="240"/>
      <c r="AE259" s="240"/>
      <c r="AF259" s="240"/>
      <c r="AG259" s="240"/>
      <c r="AH259" s="240"/>
      <c r="AI259" s="240"/>
      <c r="AJ259" s="240"/>
      <c r="AK259" s="240"/>
      <c r="AL259" s="240"/>
      <c r="AM259" s="240"/>
      <c r="AN259" s="240"/>
    </row>
    <row r="260" ht="15.75" customHeight="1">
      <c r="A260" s="145"/>
      <c r="B260" s="145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  <c r="AA260" s="240"/>
      <c r="AB260" s="240"/>
      <c r="AC260" s="240"/>
      <c r="AD260" s="240"/>
      <c r="AE260" s="240"/>
      <c r="AF260" s="240"/>
      <c r="AG260" s="240"/>
      <c r="AH260" s="240"/>
      <c r="AI260" s="240"/>
      <c r="AJ260" s="240"/>
      <c r="AK260" s="240"/>
      <c r="AL260" s="240"/>
      <c r="AM260" s="240"/>
      <c r="AN260" s="240"/>
    </row>
    <row r="261" ht="15.75" customHeight="1">
      <c r="A261" s="145"/>
      <c r="B261" s="145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  <c r="AA261" s="240"/>
      <c r="AB261" s="240"/>
      <c r="AC261" s="240"/>
      <c r="AD261" s="240"/>
      <c r="AE261" s="240"/>
      <c r="AF261" s="240"/>
      <c r="AG261" s="240"/>
      <c r="AH261" s="240"/>
      <c r="AI261" s="240"/>
      <c r="AJ261" s="240"/>
      <c r="AK261" s="240"/>
      <c r="AL261" s="240"/>
      <c r="AM261" s="240"/>
      <c r="AN261" s="240"/>
    </row>
    <row r="262" ht="15.75" customHeight="1">
      <c r="A262" s="145"/>
      <c r="B262" s="145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  <c r="AA262" s="240"/>
      <c r="AB262" s="240"/>
      <c r="AC262" s="240"/>
      <c r="AD262" s="240"/>
      <c r="AE262" s="240"/>
      <c r="AF262" s="240"/>
      <c r="AG262" s="240"/>
      <c r="AH262" s="240"/>
      <c r="AI262" s="240"/>
      <c r="AJ262" s="240"/>
      <c r="AK262" s="240"/>
      <c r="AL262" s="240"/>
      <c r="AM262" s="240"/>
      <c r="AN262" s="240"/>
    </row>
    <row r="263" ht="15.75" customHeight="1">
      <c r="A263" s="145"/>
      <c r="B263" s="145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  <c r="AA263" s="240"/>
      <c r="AB263" s="240"/>
      <c r="AC263" s="240"/>
      <c r="AD263" s="240"/>
      <c r="AE263" s="240"/>
      <c r="AF263" s="240"/>
      <c r="AG263" s="240"/>
      <c r="AH263" s="240"/>
      <c r="AI263" s="240"/>
      <c r="AJ263" s="240"/>
      <c r="AK263" s="240"/>
      <c r="AL263" s="240"/>
      <c r="AM263" s="240"/>
      <c r="AN263" s="240"/>
    </row>
    <row r="264" ht="15.75" customHeight="1">
      <c r="A264" s="145"/>
      <c r="B264" s="145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  <c r="AA264" s="240"/>
      <c r="AB264" s="240"/>
      <c r="AC264" s="240"/>
      <c r="AD264" s="240"/>
      <c r="AE264" s="240"/>
      <c r="AF264" s="240"/>
      <c r="AG264" s="240"/>
      <c r="AH264" s="240"/>
      <c r="AI264" s="240"/>
      <c r="AJ264" s="240"/>
      <c r="AK264" s="240"/>
      <c r="AL264" s="240"/>
      <c r="AM264" s="240"/>
      <c r="AN264" s="240"/>
    </row>
    <row r="265" ht="15.75" customHeight="1">
      <c r="A265" s="145"/>
      <c r="B265" s="145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  <c r="AA265" s="240"/>
      <c r="AB265" s="240"/>
      <c r="AC265" s="240"/>
      <c r="AD265" s="240"/>
      <c r="AE265" s="240"/>
      <c r="AF265" s="240"/>
      <c r="AG265" s="240"/>
      <c r="AH265" s="240"/>
      <c r="AI265" s="240"/>
      <c r="AJ265" s="240"/>
      <c r="AK265" s="240"/>
      <c r="AL265" s="240"/>
      <c r="AM265" s="240"/>
      <c r="AN265" s="240"/>
    </row>
    <row r="266" ht="15.75" customHeight="1">
      <c r="A266" s="145"/>
      <c r="B266" s="145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  <c r="AA266" s="240"/>
      <c r="AB266" s="240"/>
      <c r="AC266" s="240"/>
      <c r="AD266" s="240"/>
      <c r="AE266" s="240"/>
      <c r="AF266" s="240"/>
      <c r="AG266" s="240"/>
      <c r="AH266" s="240"/>
      <c r="AI266" s="240"/>
      <c r="AJ266" s="240"/>
      <c r="AK266" s="240"/>
      <c r="AL266" s="240"/>
      <c r="AM266" s="240"/>
      <c r="AN266" s="240"/>
    </row>
    <row r="267" ht="15.75" customHeight="1">
      <c r="A267" s="145"/>
      <c r="B267" s="145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  <c r="AA267" s="240"/>
      <c r="AB267" s="240"/>
      <c r="AC267" s="240"/>
      <c r="AD267" s="240"/>
      <c r="AE267" s="240"/>
      <c r="AF267" s="240"/>
      <c r="AG267" s="240"/>
      <c r="AH267" s="240"/>
      <c r="AI267" s="240"/>
      <c r="AJ267" s="240"/>
      <c r="AK267" s="240"/>
      <c r="AL267" s="240"/>
      <c r="AM267" s="240"/>
      <c r="AN267" s="240"/>
    </row>
    <row r="268" ht="15.75" customHeight="1">
      <c r="A268" s="145"/>
      <c r="B268" s="145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  <c r="AA268" s="240"/>
      <c r="AB268" s="240"/>
      <c r="AC268" s="240"/>
      <c r="AD268" s="240"/>
      <c r="AE268" s="240"/>
      <c r="AF268" s="240"/>
      <c r="AG268" s="240"/>
      <c r="AH268" s="240"/>
      <c r="AI268" s="240"/>
      <c r="AJ268" s="240"/>
      <c r="AK268" s="240"/>
      <c r="AL268" s="240"/>
      <c r="AM268" s="240"/>
      <c r="AN268" s="240"/>
    </row>
    <row r="269" ht="15.75" customHeight="1">
      <c r="A269" s="145"/>
      <c r="B269" s="145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  <c r="AA269" s="240"/>
      <c r="AB269" s="240"/>
      <c r="AC269" s="240"/>
      <c r="AD269" s="240"/>
      <c r="AE269" s="240"/>
      <c r="AF269" s="240"/>
      <c r="AG269" s="240"/>
      <c r="AH269" s="240"/>
      <c r="AI269" s="240"/>
      <c r="AJ269" s="240"/>
      <c r="AK269" s="240"/>
      <c r="AL269" s="240"/>
      <c r="AM269" s="240"/>
      <c r="AN269" s="240"/>
    </row>
    <row r="270" ht="15.75" customHeight="1">
      <c r="A270" s="145"/>
      <c r="B270" s="145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  <c r="AA270" s="240"/>
      <c r="AB270" s="240"/>
      <c r="AC270" s="240"/>
      <c r="AD270" s="240"/>
      <c r="AE270" s="240"/>
      <c r="AF270" s="240"/>
      <c r="AG270" s="240"/>
      <c r="AH270" s="240"/>
      <c r="AI270" s="240"/>
      <c r="AJ270" s="240"/>
      <c r="AK270" s="240"/>
      <c r="AL270" s="240"/>
      <c r="AM270" s="240"/>
      <c r="AN270" s="240"/>
    </row>
    <row r="271" ht="15.75" customHeight="1">
      <c r="A271" s="145"/>
      <c r="B271" s="145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  <c r="AA271" s="240"/>
      <c r="AB271" s="240"/>
      <c r="AC271" s="240"/>
      <c r="AD271" s="240"/>
      <c r="AE271" s="240"/>
      <c r="AF271" s="240"/>
      <c r="AG271" s="240"/>
      <c r="AH271" s="240"/>
      <c r="AI271" s="240"/>
      <c r="AJ271" s="240"/>
      <c r="AK271" s="240"/>
      <c r="AL271" s="240"/>
      <c r="AM271" s="240"/>
      <c r="AN271" s="240"/>
    </row>
    <row r="272" ht="15.75" customHeight="1">
      <c r="A272" s="145"/>
      <c r="B272" s="145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  <c r="AA272" s="240"/>
      <c r="AB272" s="240"/>
      <c r="AC272" s="240"/>
      <c r="AD272" s="240"/>
      <c r="AE272" s="240"/>
      <c r="AF272" s="240"/>
      <c r="AG272" s="240"/>
      <c r="AH272" s="240"/>
      <c r="AI272" s="240"/>
      <c r="AJ272" s="240"/>
      <c r="AK272" s="240"/>
      <c r="AL272" s="240"/>
      <c r="AM272" s="240"/>
      <c r="AN272" s="240"/>
    </row>
    <row r="273" ht="15.75" customHeight="1">
      <c r="A273" s="145"/>
      <c r="B273" s="145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</row>
    <row r="274" ht="15.75" customHeight="1">
      <c r="A274" s="145"/>
      <c r="B274" s="145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  <c r="AA274" s="240"/>
      <c r="AB274" s="240"/>
      <c r="AC274" s="240"/>
      <c r="AD274" s="240"/>
      <c r="AE274" s="240"/>
      <c r="AF274" s="240"/>
      <c r="AG274" s="240"/>
      <c r="AH274" s="240"/>
      <c r="AI274" s="240"/>
      <c r="AJ274" s="240"/>
      <c r="AK274" s="240"/>
      <c r="AL274" s="240"/>
      <c r="AM274" s="240"/>
      <c r="AN274" s="240"/>
    </row>
    <row r="275" ht="15.75" customHeight="1">
      <c r="A275" s="145"/>
      <c r="B275" s="145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  <c r="AA275" s="240"/>
      <c r="AB275" s="240"/>
      <c r="AC275" s="240"/>
      <c r="AD275" s="240"/>
      <c r="AE275" s="240"/>
      <c r="AF275" s="240"/>
      <c r="AG275" s="240"/>
      <c r="AH275" s="240"/>
      <c r="AI275" s="240"/>
      <c r="AJ275" s="240"/>
      <c r="AK275" s="240"/>
      <c r="AL275" s="240"/>
      <c r="AM275" s="240"/>
      <c r="AN275" s="240"/>
    </row>
    <row r="276" ht="15.75" customHeight="1">
      <c r="A276" s="145"/>
      <c r="B276" s="145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  <c r="AA276" s="240"/>
      <c r="AB276" s="240"/>
      <c r="AC276" s="240"/>
      <c r="AD276" s="240"/>
      <c r="AE276" s="240"/>
      <c r="AF276" s="240"/>
      <c r="AG276" s="240"/>
      <c r="AH276" s="240"/>
      <c r="AI276" s="240"/>
      <c r="AJ276" s="240"/>
      <c r="AK276" s="240"/>
      <c r="AL276" s="240"/>
      <c r="AM276" s="240"/>
      <c r="AN276" s="240"/>
    </row>
    <row r="277" ht="15.75" customHeight="1">
      <c r="A277" s="145"/>
      <c r="B277" s="145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  <c r="AA277" s="240"/>
      <c r="AB277" s="240"/>
      <c r="AC277" s="240"/>
      <c r="AD277" s="240"/>
      <c r="AE277" s="240"/>
      <c r="AF277" s="240"/>
      <c r="AG277" s="240"/>
      <c r="AH277" s="240"/>
      <c r="AI277" s="240"/>
      <c r="AJ277" s="240"/>
      <c r="AK277" s="240"/>
      <c r="AL277" s="240"/>
      <c r="AM277" s="240"/>
      <c r="AN277" s="240"/>
    </row>
    <row r="278" ht="15.75" customHeight="1">
      <c r="A278" s="145"/>
      <c r="B278" s="145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  <c r="AA278" s="240"/>
      <c r="AB278" s="240"/>
      <c r="AC278" s="240"/>
      <c r="AD278" s="240"/>
      <c r="AE278" s="240"/>
      <c r="AF278" s="240"/>
      <c r="AG278" s="240"/>
      <c r="AH278" s="240"/>
      <c r="AI278" s="240"/>
      <c r="AJ278" s="240"/>
      <c r="AK278" s="240"/>
      <c r="AL278" s="240"/>
      <c r="AM278" s="240"/>
      <c r="AN278" s="240"/>
    </row>
    <row r="279" ht="15.75" customHeight="1">
      <c r="A279" s="145"/>
      <c r="B279" s="145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  <c r="AA279" s="240"/>
      <c r="AB279" s="240"/>
      <c r="AC279" s="240"/>
      <c r="AD279" s="240"/>
      <c r="AE279" s="240"/>
      <c r="AF279" s="240"/>
      <c r="AG279" s="240"/>
      <c r="AH279" s="240"/>
      <c r="AI279" s="240"/>
      <c r="AJ279" s="240"/>
      <c r="AK279" s="240"/>
      <c r="AL279" s="240"/>
      <c r="AM279" s="240"/>
      <c r="AN279" s="240"/>
    </row>
    <row r="280" ht="15.75" customHeight="1">
      <c r="A280" s="145"/>
      <c r="B280" s="145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  <c r="AA280" s="240"/>
      <c r="AB280" s="240"/>
      <c r="AC280" s="240"/>
      <c r="AD280" s="240"/>
      <c r="AE280" s="240"/>
      <c r="AF280" s="240"/>
      <c r="AG280" s="240"/>
      <c r="AH280" s="240"/>
      <c r="AI280" s="240"/>
      <c r="AJ280" s="240"/>
      <c r="AK280" s="240"/>
      <c r="AL280" s="240"/>
      <c r="AM280" s="240"/>
      <c r="AN280" s="240"/>
    </row>
    <row r="281" ht="15.75" customHeight="1">
      <c r="A281" s="145"/>
      <c r="B281" s="145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  <c r="AA281" s="240"/>
      <c r="AB281" s="240"/>
      <c r="AC281" s="240"/>
      <c r="AD281" s="240"/>
      <c r="AE281" s="240"/>
      <c r="AF281" s="240"/>
      <c r="AG281" s="240"/>
      <c r="AH281" s="240"/>
      <c r="AI281" s="240"/>
      <c r="AJ281" s="240"/>
      <c r="AK281" s="240"/>
      <c r="AL281" s="240"/>
      <c r="AM281" s="240"/>
      <c r="AN281" s="240"/>
    </row>
    <row r="282" ht="15.75" customHeight="1">
      <c r="A282" s="145"/>
      <c r="B282" s="145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  <c r="AA282" s="240"/>
      <c r="AB282" s="240"/>
      <c r="AC282" s="240"/>
      <c r="AD282" s="240"/>
      <c r="AE282" s="240"/>
      <c r="AF282" s="240"/>
      <c r="AG282" s="240"/>
      <c r="AH282" s="240"/>
      <c r="AI282" s="240"/>
      <c r="AJ282" s="240"/>
      <c r="AK282" s="240"/>
      <c r="AL282" s="240"/>
      <c r="AM282" s="240"/>
      <c r="AN282" s="240"/>
    </row>
    <row r="283" ht="15.75" customHeight="1">
      <c r="A283" s="145"/>
      <c r="B283" s="145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  <c r="AA283" s="240"/>
      <c r="AB283" s="240"/>
      <c r="AC283" s="240"/>
      <c r="AD283" s="240"/>
      <c r="AE283" s="240"/>
      <c r="AF283" s="240"/>
      <c r="AG283" s="240"/>
      <c r="AH283" s="240"/>
      <c r="AI283" s="240"/>
      <c r="AJ283" s="240"/>
      <c r="AK283" s="240"/>
      <c r="AL283" s="240"/>
      <c r="AM283" s="240"/>
      <c r="AN283" s="240"/>
    </row>
    <row r="284" ht="15.75" customHeight="1">
      <c r="A284" s="145"/>
      <c r="B284" s="145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  <c r="AA284" s="240"/>
      <c r="AB284" s="240"/>
      <c r="AC284" s="240"/>
      <c r="AD284" s="240"/>
      <c r="AE284" s="240"/>
      <c r="AF284" s="240"/>
      <c r="AG284" s="240"/>
      <c r="AH284" s="240"/>
      <c r="AI284" s="240"/>
      <c r="AJ284" s="240"/>
      <c r="AK284" s="240"/>
      <c r="AL284" s="240"/>
      <c r="AM284" s="240"/>
      <c r="AN284" s="240"/>
    </row>
    <row r="285" ht="15.75" customHeight="1">
      <c r="A285" s="145"/>
      <c r="B285" s="145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  <c r="AA285" s="240"/>
      <c r="AB285" s="240"/>
      <c r="AC285" s="240"/>
      <c r="AD285" s="240"/>
      <c r="AE285" s="240"/>
      <c r="AF285" s="240"/>
      <c r="AG285" s="240"/>
      <c r="AH285" s="240"/>
      <c r="AI285" s="240"/>
      <c r="AJ285" s="240"/>
      <c r="AK285" s="240"/>
      <c r="AL285" s="240"/>
      <c r="AM285" s="240"/>
      <c r="AN285" s="240"/>
    </row>
    <row r="286" ht="15.75" customHeight="1">
      <c r="A286" s="145"/>
      <c r="B286" s="145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  <c r="AA286" s="240"/>
      <c r="AB286" s="240"/>
      <c r="AC286" s="240"/>
      <c r="AD286" s="240"/>
      <c r="AE286" s="240"/>
      <c r="AF286" s="240"/>
      <c r="AG286" s="240"/>
      <c r="AH286" s="240"/>
      <c r="AI286" s="240"/>
      <c r="AJ286" s="240"/>
      <c r="AK286" s="240"/>
      <c r="AL286" s="240"/>
      <c r="AM286" s="240"/>
      <c r="AN286" s="240"/>
    </row>
    <row r="287" ht="15.75" customHeight="1">
      <c r="A287" s="145"/>
      <c r="B287" s="145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  <c r="AA287" s="240"/>
      <c r="AB287" s="240"/>
      <c r="AC287" s="240"/>
      <c r="AD287" s="240"/>
      <c r="AE287" s="240"/>
      <c r="AF287" s="240"/>
      <c r="AG287" s="240"/>
      <c r="AH287" s="240"/>
      <c r="AI287" s="240"/>
      <c r="AJ287" s="240"/>
      <c r="AK287" s="240"/>
      <c r="AL287" s="240"/>
      <c r="AM287" s="240"/>
      <c r="AN287" s="240"/>
    </row>
    <row r="288" ht="15.75" customHeight="1">
      <c r="A288" s="145"/>
      <c r="B288" s="145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  <c r="AA288" s="240"/>
      <c r="AB288" s="240"/>
      <c r="AC288" s="240"/>
      <c r="AD288" s="240"/>
      <c r="AE288" s="240"/>
      <c r="AF288" s="240"/>
      <c r="AG288" s="240"/>
      <c r="AH288" s="240"/>
      <c r="AI288" s="240"/>
      <c r="AJ288" s="240"/>
      <c r="AK288" s="240"/>
      <c r="AL288" s="240"/>
      <c r="AM288" s="240"/>
      <c r="AN288" s="240"/>
    </row>
    <row r="289" ht="15.75" customHeight="1">
      <c r="A289" s="145"/>
      <c r="B289" s="145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  <c r="AA289" s="240"/>
      <c r="AB289" s="240"/>
      <c r="AC289" s="240"/>
      <c r="AD289" s="240"/>
      <c r="AE289" s="240"/>
      <c r="AF289" s="240"/>
      <c r="AG289" s="240"/>
      <c r="AH289" s="240"/>
      <c r="AI289" s="240"/>
      <c r="AJ289" s="240"/>
      <c r="AK289" s="240"/>
      <c r="AL289" s="240"/>
      <c r="AM289" s="240"/>
      <c r="AN289" s="240"/>
    </row>
    <row r="290" ht="15.75" customHeight="1">
      <c r="A290" s="145"/>
      <c r="B290" s="145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  <c r="AA290" s="240"/>
      <c r="AB290" s="240"/>
      <c r="AC290" s="240"/>
      <c r="AD290" s="240"/>
      <c r="AE290" s="240"/>
      <c r="AF290" s="240"/>
      <c r="AG290" s="240"/>
      <c r="AH290" s="240"/>
      <c r="AI290" s="240"/>
      <c r="AJ290" s="240"/>
      <c r="AK290" s="240"/>
      <c r="AL290" s="240"/>
      <c r="AM290" s="240"/>
      <c r="AN290" s="240"/>
    </row>
    <row r="291" ht="15.75" customHeight="1">
      <c r="A291" s="145"/>
      <c r="B291" s="145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  <c r="AA291" s="240"/>
      <c r="AB291" s="240"/>
      <c r="AC291" s="240"/>
      <c r="AD291" s="240"/>
      <c r="AE291" s="240"/>
      <c r="AF291" s="240"/>
      <c r="AG291" s="240"/>
      <c r="AH291" s="240"/>
      <c r="AI291" s="240"/>
      <c r="AJ291" s="240"/>
      <c r="AK291" s="240"/>
      <c r="AL291" s="240"/>
      <c r="AM291" s="240"/>
      <c r="AN291" s="240"/>
    </row>
    <row r="292" ht="15.75" customHeight="1">
      <c r="A292" s="145"/>
      <c r="B292" s="145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</row>
    <row r="293" ht="15.75" customHeight="1">
      <c r="A293" s="145"/>
      <c r="B293" s="145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  <c r="AA293" s="240"/>
      <c r="AB293" s="240"/>
      <c r="AC293" s="240"/>
      <c r="AD293" s="240"/>
      <c r="AE293" s="240"/>
      <c r="AF293" s="240"/>
      <c r="AG293" s="240"/>
      <c r="AH293" s="240"/>
      <c r="AI293" s="240"/>
      <c r="AJ293" s="240"/>
      <c r="AK293" s="240"/>
      <c r="AL293" s="240"/>
      <c r="AM293" s="240"/>
      <c r="AN293" s="240"/>
    </row>
    <row r="294" ht="15.75" customHeight="1">
      <c r="A294" s="145"/>
      <c r="B294" s="145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</row>
    <row r="295" ht="15.75" customHeight="1">
      <c r="A295" s="145"/>
      <c r="B295" s="145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  <c r="AA295" s="240"/>
      <c r="AB295" s="240"/>
      <c r="AC295" s="240"/>
      <c r="AD295" s="240"/>
      <c r="AE295" s="240"/>
      <c r="AF295" s="240"/>
      <c r="AG295" s="240"/>
      <c r="AH295" s="240"/>
      <c r="AI295" s="240"/>
      <c r="AJ295" s="240"/>
      <c r="AK295" s="240"/>
      <c r="AL295" s="240"/>
      <c r="AM295" s="240"/>
      <c r="AN295" s="240"/>
    </row>
    <row r="296" ht="15.75" customHeight="1">
      <c r="A296" s="145"/>
      <c r="B296" s="145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</row>
    <row r="297" ht="15.75" customHeight="1">
      <c r="A297" s="145"/>
      <c r="B297" s="145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  <c r="AA297" s="240"/>
      <c r="AB297" s="240"/>
      <c r="AC297" s="240"/>
      <c r="AD297" s="240"/>
      <c r="AE297" s="240"/>
      <c r="AF297" s="240"/>
      <c r="AG297" s="240"/>
      <c r="AH297" s="240"/>
      <c r="AI297" s="240"/>
      <c r="AJ297" s="240"/>
      <c r="AK297" s="240"/>
      <c r="AL297" s="240"/>
      <c r="AM297" s="240"/>
      <c r="AN297" s="240"/>
    </row>
    <row r="298" ht="15.75" customHeight="1">
      <c r="A298" s="145"/>
      <c r="B298" s="145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</row>
    <row r="299" ht="15.75" customHeight="1">
      <c r="A299" s="145"/>
      <c r="B299" s="145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  <c r="AB299" s="240"/>
      <c r="AC299" s="240"/>
      <c r="AD299" s="240"/>
      <c r="AE299" s="240"/>
      <c r="AF299" s="240"/>
      <c r="AG299" s="240"/>
      <c r="AH299" s="240"/>
      <c r="AI299" s="240"/>
      <c r="AJ299" s="240"/>
      <c r="AK299" s="240"/>
      <c r="AL299" s="240"/>
      <c r="AM299" s="240"/>
      <c r="AN299" s="240"/>
    </row>
    <row r="300" ht="15.75" customHeight="1">
      <c r="A300" s="145"/>
      <c r="B300" s="145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</row>
    <row r="301" ht="15.75" customHeight="1">
      <c r="A301" s="145"/>
      <c r="B301" s="145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  <c r="AA301" s="240"/>
      <c r="AB301" s="240"/>
      <c r="AC301" s="240"/>
      <c r="AD301" s="240"/>
      <c r="AE301" s="240"/>
      <c r="AF301" s="240"/>
      <c r="AG301" s="240"/>
      <c r="AH301" s="240"/>
      <c r="AI301" s="240"/>
      <c r="AJ301" s="240"/>
      <c r="AK301" s="240"/>
      <c r="AL301" s="240"/>
      <c r="AM301" s="240"/>
      <c r="AN301" s="240"/>
    </row>
    <row r="302" ht="15.75" customHeight="1">
      <c r="A302" s="145"/>
      <c r="B302" s="145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</row>
    <row r="303" ht="15.75" customHeight="1">
      <c r="A303" s="145"/>
      <c r="B303" s="145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  <c r="AA303" s="240"/>
      <c r="AB303" s="240"/>
      <c r="AC303" s="240"/>
      <c r="AD303" s="240"/>
      <c r="AE303" s="240"/>
      <c r="AF303" s="240"/>
      <c r="AG303" s="240"/>
      <c r="AH303" s="240"/>
      <c r="AI303" s="240"/>
      <c r="AJ303" s="240"/>
      <c r="AK303" s="240"/>
      <c r="AL303" s="240"/>
      <c r="AM303" s="240"/>
      <c r="AN303" s="240"/>
    </row>
    <row r="304" ht="15.75" customHeight="1">
      <c r="A304" s="145"/>
      <c r="B304" s="145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  <c r="AA304" s="240"/>
      <c r="AB304" s="240"/>
      <c r="AC304" s="240"/>
      <c r="AD304" s="240"/>
      <c r="AE304" s="240"/>
      <c r="AF304" s="240"/>
      <c r="AG304" s="240"/>
      <c r="AH304" s="240"/>
      <c r="AI304" s="240"/>
      <c r="AJ304" s="240"/>
      <c r="AK304" s="240"/>
      <c r="AL304" s="240"/>
      <c r="AM304" s="240"/>
      <c r="AN304" s="240"/>
    </row>
    <row r="305" ht="15.75" customHeight="1">
      <c r="A305" s="145"/>
      <c r="B305" s="145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  <c r="AA305" s="240"/>
      <c r="AB305" s="240"/>
      <c r="AC305" s="240"/>
      <c r="AD305" s="240"/>
      <c r="AE305" s="240"/>
      <c r="AF305" s="240"/>
      <c r="AG305" s="240"/>
      <c r="AH305" s="240"/>
      <c r="AI305" s="240"/>
      <c r="AJ305" s="240"/>
      <c r="AK305" s="240"/>
      <c r="AL305" s="240"/>
      <c r="AM305" s="240"/>
      <c r="AN305" s="240"/>
    </row>
    <row r="306" ht="15.75" customHeight="1">
      <c r="A306" s="145"/>
      <c r="B306" s="145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  <c r="AA306" s="240"/>
      <c r="AB306" s="240"/>
      <c r="AC306" s="240"/>
      <c r="AD306" s="240"/>
      <c r="AE306" s="240"/>
      <c r="AF306" s="240"/>
      <c r="AG306" s="240"/>
      <c r="AH306" s="240"/>
      <c r="AI306" s="240"/>
      <c r="AJ306" s="240"/>
      <c r="AK306" s="240"/>
      <c r="AL306" s="240"/>
      <c r="AM306" s="240"/>
      <c r="AN306" s="240"/>
    </row>
    <row r="307" ht="15.75" customHeight="1">
      <c r="A307" s="145"/>
      <c r="B307" s="145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  <c r="AA307" s="240"/>
      <c r="AB307" s="240"/>
      <c r="AC307" s="240"/>
      <c r="AD307" s="240"/>
      <c r="AE307" s="240"/>
      <c r="AF307" s="240"/>
      <c r="AG307" s="240"/>
      <c r="AH307" s="240"/>
      <c r="AI307" s="240"/>
      <c r="AJ307" s="240"/>
      <c r="AK307" s="240"/>
      <c r="AL307" s="240"/>
      <c r="AM307" s="240"/>
      <c r="AN307" s="240"/>
    </row>
    <row r="308" ht="15.75" customHeight="1">
      <c r="A308" s="145"/>
      <c r="B308" s="145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  <c r="AA308" s="240"/>
      <c r="AB308" s="240"/>
      <c r="AC308" s="240"/>
      <c r="AD308" s="240"/>
      <c r="AE308" s="240"/>
      <c r="AF308" s="240"/>
      <c r="AG308" s="240"/>
      <c r="AH308" s="240"/>
      <c r="AI308" s="240"/>
      <c r="AJ308" s="240"/>
      <c r="AK308" s="240"/>
      <c r="AL308" s="240"/>
      <c r="AM308" s="240"/>
      <c r="AN308" s="240"/>
    </row>
    <row r="309" ht="15.75" customHeight="1">
      <c r="A309" s="145"/>
      <c r="B309" s="145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  <c r="AA309" s="240"/>
      <c r="AB309" s="240"/>
      <c r="AC309" s="240"/>
      <c r="AD309" s="240"/>
      <c r="AE309" s="240"/>
      <c r="AF309" s="240"/>
      <c r="AG309" s="240"/>
      <c r="AH309" s="240"/>
      <c r="AI309" s="240"/>
      <c r="AJ309" s="240"/>
      <c r="AK309" s="240"/>
      <c r="AL309" s="240"/>
      <c r="AM309" s="240"/>
      <c r="AN309" s="240"/>
    </row>
    <row r="310" ht="15.75" customHeight="1">
      <c r="A310" s="145"/>
      <c r="B310" s="145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  <c r="AA310" s="240"/>
      <c r="AB310" s="240"/>
      <c r="AC310" s="240"/>
      <c r="AD310" s="240"/>
      <c r="AE310" s="240"/>
      <c r="AF310" s="240"/>
      <c r="AG310" s="240"/>
      <c r="AH310" s="240"/>
      <c r="AI310" s="240"/>
      <c r="AJ310" s="240"/>
      <c r="AK310" s="240"/>
      <c r="AL310" s="240"/>
      <c r="AM310" s="240"/>
      <c r="AN310" s="240"/>
    </row>
    <row r="311" ht="15.75" customHeight="1">
      <c r="A311" s="145"/>
      <c r="B311" s="145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  <c r="AA311" s="240"/>
      <c r="AB311" s="240"/>
      <c r="AC311" s="240"/>
      <c r="AD311" s="240"/>
      <c r="AE311" s="240"/>
      <c r="AF311" s="240"/>
      <c r="AG311" s="240"/>
      <c r="AH311" s="240"/>
      <c r="AI311" s="240"/>
      <c r="AJ311" s="240"/>
      <c r="AK311" s="240"/>
      <c r="AL311" s="240"/>
      <c r="AM311" s="240"/>
      <c r="AN311" s="240"/>
    </row>
    <row r="312" ht="15.75" customHeight="1">
      <c r="A312" s="145"/>
      <c r="B312" s="145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  <c r="AA312" s="240"/>
      <c r="AB312" s="240"/>
      <c r="AC312" s="240"/>
      <c r="AD312" s="240"/>
      <c r="AE312" s="240"/>
      <c r="AF312" s="240"/>
      <c r="AG312" s="240"/>
      <c r="AH312" s="240"/>
      <c r="AI312" s="240"/>
      <c r="AJ312" s="240"/>
      <c r="AK312" s="240"/>
      <c r="AL312" s="240"/>
      <c r="AM312" s="240"/>
      <c r="AN312" s="240"/>
    </row>
    <row r="313" ht="15.75" customHeight="1">
      <c r="A313" s="145"/>
      <c r="B313" s="145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  <c r="AA313" s="240"/>
      <c r="AB313" s="240"/>
      <c r="AC313" s="240"/>
      <c r="AD313" s="240"/>
      <c r="AE313" s="240"/>
      <c r="AF313" s="240"/>
      <c r="AG313" s="240"/>
      <c r="AH313" s="240"/>
      <c r="AI313" s="240"/>
      <c r="AJ313" s="240"/>
      <c r="AK313" s="240"/>
      <c r="AL313" s="240"/>
      <c r="AM313" s="240"/>
      <c r="AN313" s="240"/>
    </row>
    <row r="314" ht="15.75" customHeight="1">
      <c r="A314" s="145"/>
      <c r="B314" s="145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  <c r="AA314" s="240"/>
      <c r="AB314" s="240"/>
      <c r="AC314" s="240"/>
      <c r="AD314" s="240"/>
      <c r="AE314" s="240"/>
      <c r="AF314" s="240"/>
      <c r="AG314" s="240"/>
      <c r="AH314" s="240"/>
      <c r="AI314" s="240"/>
      <c r="AJ314" s="240"/>
      <c r="AK314" s="240"/>
      <c r="AL314" s="240"/>
      <c r="AM314" s="240"/>
      <c r="AN314" s="240"/>
    </row>
    <row r="315" ht="15.75" customHeight="1">
      <c r="A315" s="145"/>
      <c r="B315" s="145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  <c r="AA315" s="240"/>
      <c r="AB315" s="240"/>
      <c r="AC315" s="240"/>
      <c r="AD315" s="240"/>
      <c r="AE315" s="240"/>
      <c r="AF315" s="240"/>
      <c r="AG315" s="240"/>
      <c r="AH315" s="240"/>
      <c r="AI315" s="240"/>
      <c r="AJ315" s="240"/>
      <c r="AK315" s="240"/>
      <c r="AL315" s="240"/>
      <c r="AM315" s="240"/>
      <c r="AN315" s="240"/>
    </row>
    <row r="316" ht="15.75" customHeight="1">
      <c r="A316" s="145"/>
      <c r="B316" s="145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  <c r="AA316" s="240"/>
      <c r="AB316" s="240"/>
      <c r="AC316" s="240"/>
      <c r="AD316" s="240"/>
      <c r="AE316" s="240"/>
      <c r="AF316" s="240"/>
      <c r="AG316" s="240"/>
      <c r="AH316" s="240"/>
      <c r="AI316" s="240"/>
      <c r="AJ316" s="240"/>
      <c r="AK316" s="240"/>
      <c r="AL316" s="240"/>
      <c r="AM316" s="240"/>
      <c r="AN316" s="240"/>
    </row>
    <row r="317" ht="15.75" customHeight="1">
      <c r="A317" s="145"/>
      <c r="B317" s="145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  <c r="AA317" s="240"/>
      <c r="AB317" s="240"/>
      <c r="AC317" s="240"/>
      <c r="AD317" s="240"/>
      <c r="AE317" s="240"/>
      <c r="AF317" s="240"/>
      <c r="AG317" s="240"/>
      <c r="AH317" s="240"/>
      <c r="AI317" s="240"/>
      <c r="AJ317" s="240"/>
      <c r="AK317" s="240"/>
      <c r="AL317" s="240"/>
      <c r="AM317" s="240"/>
      <c r="AN317" s="240"/>
    </row>
    <row r="318" ht="15.75" customHeight="1">
      <c r="A318" s="145"/>
      <c r="B318" s="145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  <c r="AA318" s="240"/>
      <c r="AB318" s="240"/>
      <c r="AC318" s="240"/>
      <c r="AD318" s="240"/>
      <c r="AE318" s="240"/>
      <c r="AF318" s="240"/>
      <c r="AG318" s="240"/>
      <c r="AH318" s="240"/>
      <c r="AI318" s="240"/>
      <c r="AJ318" s="240"/>
      <c r="AK318" s="240"/>
      <c r="AL318" s="240"/>
      <c r="AM318" s="240"/>
      <c r="AN318" s="240"/>
    </row>
    <row r="319" ht="15.75" customHeight="1">
      <c r="A319" s="145"/>
      <c r="B319" s="145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  <c r="AA319" s="240"/>
      <c r="AB319" s="240"/>
      <c r="AC319" s="240"/>
      <c r="AD319" s="240"/>
      <c r="AE319" s="240"/>
      <c r="AF319" s="240"/>
      <c r="AG319" s="240"/>
      <c r="AH319" s="240"/>
      <c r="AI319" s="240"/>
      <c r="AJ319" s="240"/>
      <c r="AK319" s="240"/>
      <c r="AL319" s="240"/>
      <c r="AM319" s="240"/>
      <c r="AN319" s="240"/>
    </row>
    <row r="320" ht="15.75" customHeight="1">
      <c r="A320" s="145"/>
      <c r="B320" s="145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  <c r="AA320" s="240"/>
      <c r="AB320" s="240"/>
      <c r="AC320" s="240"/>
      <c r="AD320" s="240"/>
      <c r="AE320" s="240"/>
      <c r="AF320" s="240"/>
      <c r="AG320" s="240"/>
      <c r="AH320" s="240"/>
      <c r="AI320" s="240"/>
      <c r="AJ320" s="240"/>
      <c r="AK320" s="240"/>
      <c r="AL320" s="240"/>
      <c r="AM320" s="240"/>
      <c r="AN320" s="240"/>
    </row>
    <row r="321" ht="15.75" customHeight="1">
      <c r="A321" s="145"/>
      <c r="B321" s="145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  <c r="AA321" s="240"/>
      <c r="AB321" s="240"/>
      <c r="AC321" s="240"/>
      <c r="AD321" s="240"/>
      <c r="AE321" s="240"/>
      <c r="AF321" s="240"/>
      <c r="AG321" s="240"/>
      <c r="AH321" s="240"/>
      <c r="AI321" s="240"/>
      <c r="AJ321" s="240"/>
      <c r="AK321" s="240"/>
      <c r="AL321" s="240"/>
      <c r="AM321" s="240"/>
      <c r="AN321" s="240"/>
    </row>
    <row r="322" ht="15.75" customHeight="1">
      <c r="A322" s="145"/>
      <c r="B322" s="145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  <c r="AA322" s="240"/>
      <c r="AB322" s="240"/>
      <c r="AC322" s="240"/>
      <c r="AD322" s="240"/>
      <c r="AE322" s="240"/>
      <c r="AF322" s="240"/>
      <c r="AG322" s="240"/>
      <c r="AH322" s="240"/>
      <c r="AI322" s="240"/>
      <c r="AJ322" s="240"/>
      <c r="AK322" s="240"/>
      <c r="AL322" s="240"/>
      <c r="AM322" s="240"/>
      <c r="AN322" s="240"/>
    </row>
    <row r="323" ht="15.75" customHeight="1">
      <c r="A323" s="145"/>
      <c r="B323" s="145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  <c r="AA323" s="240"/>
      <c r="AB323" s="240"/>
      <c r="AC323" s="240"/>
      <c r="AD323" s="240"/>
      <c r="AE323" s="240"/>
      <c r="AF323" s="240"/>
      <c r="AG323" s="240"/>
      <c r="AH323" s="240"/>
      <c r="AI323" s="240"/>
      <c r="AJ323" s="240"/>
      <c r="AK323" s="240"/>
      <c r="AL323" s="240"/>
      <c r="AM323" s="240"/>
      <c r="AN323" s="240"/>
    </row>
    <row r="324" ht="15.75" customHeight="1">
      <c r="A324" s="145"/>
      <c r="B324" s="145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  <c r="AA324" s="240"/>
      <c r="AB324" s="240"/>
      <c r="AC324" s="240"/>
      <c r="AD324" s="240"/>
      <c r="AE324" s="240"/>
      <c r="AF324" s="240"/>
      <c r="AG324" s="240"/>
      <c r="AH324" s="240"/>
      <c r="AI324" s="240"/>
      <c r="AJ324" s="240"/>
      <c r="AK324" s="240"/>
      <c r="AL324" s="240"/>
      <c r="AM324" s="240"/>
      <c r="AN324" s="240"/>
    </row>
    <row r="325" ht="15.75" customHeight="1">
      <c r="A325" s="145"/>
      <c r="B325" s="145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  <c r="AA325" s="240"/>
      <c r="AB325" s="240"/>
      <c r="AC325" s="240"/>
      <c r="AD325" s="240"/>
      <c r="AE325" s="240"/>
      <c r="AF325" s="240"/>
      <c r="AG325" s="240"/>
      <c r="AH325" s="240"/>
      <c r="AI325" s="240"/>
      <c r="AJ325" s="240"/>
      <c r="AK325" s="240"/>
      <c r="AL325" s="240"/>
      <c r="AM325" s="240"/>
      <c r="AN325" s="240"/>
    </row>
    <row r="326" ht="15.75" customHeight="1">
      <c r="A326" s="145"/>
      <c r="B326" s="145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  <c r="AA326" s="240"/>
      <c r="AB326" s="240"/>
      <c r="AC326" s="240"/>
      <c r="AD326" s="240"/>
      <c r="AE326" s="240"/>
      <c r="AF326" s="240"/>
      <c r="AG326" s="240"/>
      <c r="AH326" s="240"/>
      <c r="AI326" s="240"/>
      <c r="AJ326" s="240"/>
      <c r="AK326" s="240"/>
      <c r="AL326" s="240"/>
      <c r="AM326" s="240"/>
      <c r="AN326" s="240"/>
    </row>
    <row r="327" ht="15.75" customHeight="1">
      <c r="A327" s="145"/>
      <c r="B327" s="145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  <c r="AA327" s="240"/>
      <c r="AB327" s="240"/>
      <c r="AC327" s="240"/>
      <c r="AD327" s="240"/>
      <c r="AE327" s="240"/>
      <c r="AF327" s="240"/>
      <c r="AG327" s="240"/>
      <c r="AH327" s="240"/>
      <c r="AI327" s="240"/>
      <c r="AJ327" s="240"/>
      <c r="AK327" s="240"/>
      <c r="AL327" s="240"/>
      <c r="AM327" s="240"/>
      <c r="AN327" s="240"/>
    </row>
    <row r="328" ht="15.75" customHeight="1">
      <c r="A328" s="145"/>
      <c r="B328" s="145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  <c r="AA328" s="240"/>
      <c r="AB328" s="240"/>
      <c r="AC328" s="240"/>
      <c r="AD328" s="240"/>
      <c r="AE328" s="240"/>
      <c r="AF328" s="240"/>
      <c r="AG328" s="240"/>
      <c r="AH328" s="240"/>
      <c r="AI328" s="240"/>
      <c r="AJ328" s="240"/>
      <c r="AK328" s="240"/>
      <c r="AL328" s="240"/>
      <c r="AM328" s="240"/>
      <c r="AN328" s="240"/>
    </row>
    <row r="329" ht="15.75" customHeight="1">
      <c r="A329" s="145"/>
      <c r="B329" s="145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  <c r="AA329" s="240"/>
      <c r="AB329" s="240"/>
      <c r="AC329" s="240"/>
      <c r="AD329" s="240"/>
      <c r="AE329" s="240"/>
      <c r="AF329" s="240"/>
      <c r="AG329" s="240"/>
      <c r="AH329" s="240"/>
      <c r="AI329" s="240"/>
      <c r="AJ329" s="240"/>
      <c r="AK329" s="240"/>
      <c r="AL329" s="240"/>
      <c r="AM329" s="240"/>
      <c r="AN329" s="240"/>
    </row>
    <row r="330" ht="15.75" customHeight="1">
      <c r="A330" s="145"/>
      <c r="B330" s="145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  <c r="AA330" s="240"/>
      <c r="AB330" s="240"/>
      <c r="AC330" s="240"/>
      <c r="AD330" s="240"/>
      <c r="AE330" s="240"/>
      <c r="AF330" s="240"/>
      <c r="AG330" s="240"/>
      <c r="AH330" s="240"/>
      <c r="AI330" s="240"/>
      <c r="AJ330" s="240"/>
      <c r="AK330" s="240"/>
      <c r="AL330" s="240"/>
      <c r="AM330" s="240"/>
      <c r="AN330" s="240"/>
    </row>
    <row r="331" ht="15.75" customHeight="1">
      <c r="A331" s="145"/>
      <c r="B331" s="145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  <c r="AA331" s="240"/>
      <c r="AB331" s="240"/>
      <c r="AC331" s="240"/>
      <c r="AD331" s="240"/>
      <c r="AE331" s="240"/>
      <c r="AF331" s="240"/>
      <c r="AG331" s="240"/>
      <c r="AH331" s="240"/>
      <c r="AI331" s="240"/>
      <c r="AJ331" s="240"/>
      <c r="AK331" s="240"/>
      <c r="AL331" s="240"/>
      <c r="AM331" s="240"/>
      <c r="AN331" s="240"/>
    </row>
    <row r="332" ht="15.75" customHeight="1">
      <c r="A332" s="145"/>
      <c r="B332" s="145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  <c r="AA332" s="240"/>
      <c r="AB332" s="240"/>
      <c r="AC332" s="240"/>
      <c r="AD332" s="240"/>
      <c r="AE332" s="240"/>
      <c r="AF332" s="240"/>
      <c r="AG332" s="240"/>
      <c r="AH332" s="240"/>
      <c r="AI332" s="240"/>
      <c r="AJ332" s="240"/>
      <c r="AK332" s="240"/>
      <c r="AL332" s="240"/>
      <c r="AM332" s="240"/>
      <c r="AN332" s="240"/>
    </row>
    <row r="333" ht="15.75" customHeight="1">
      <c r="A333" s="145"/>
      <c r="B333" s="145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  <c r="AA333" s="240"/>
      <c r="AB333" s="240"/>
      <c r="AC333" s="240"/>
      <c r="AD333" s="240"/>
      <c r="AE333" s="240"/>
      <c r="AF333" s="240"/>
      <c r="AG333" s="240"/>
      <c r="AH333" s="240"/>
      <c r="AI333" s="240"/>
      <c r="AJ333" s="240"/>
      <c r="AK333" s="240"/>
      <c r="AL333" s="240"/>
      <c r="AM333" s="240"/>
      <c r="AN333" s="240"/>
    </row>
    <row r="334" ht="15.75" customHeight="1">
      <c r="A334" s="145"/>
      <c r="B334" s="145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  <c r="AA334" s="240"/>
      <c r="AB334" s="240"/>
      <c r="AC334" s="240"/>
      <c r="AD334" s="240"/>
      <c r="AE334" s="240"/>
      <c r="AF334" s="240"/>
      <c r="AG334" s="240"/>
      <c r="AH334" s="240"/>
      <c r="AI334" s="240"/>
      <c r="AJ334" s="240"/>
      <c r="AK334" s="240"/>
      <c r="AL334" s="240"/>
      <c r="AM334" s="240"/>
      <c r="AN334" s="240"/>
    </row>
    <row r="335" ht="15.75" customHeight="1">
      <c r="A335" s="145"/>
      <c r="B335" s="145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</row>
    <row r="336" ht="15.75" customHeight="1">
      <c r="A336" s="145"/>
      <c r="B336" s="145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  <c r="AA336" s="240"/>
      <c r="AB336" s="240"/>
      <c r="AC336" s="240"/>
      <c r="AD336" s="240"/>
      <c r="AE336" s="240"/>
      <c r="AF336" s="240"/>
      <c r="AG336" s="240"/>
      <c r="AH336" s="240"/>
      <c r="AI336" s="240"/>
      <c r="AJ336" s="240"/>
      <c r="AK336" s="240"/>
      <c r="AL336" s="240"/>
      <c r="AM336" s="240"/>
      <c r="AN336" s="240"/>
    </row>
    <row r="337" ht="15.75" customHeight="1">
      <c r="A337" s="145"/>
      <c r="B337" s="145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  <c r="AA337" s="240"/>
      <c r="AB337" s="240"/>
      <c r="AC337" s="240"/>
      <c r="AD337" s="240"/>
      <c r="AE337" s="240"/>
      <c r="AF337" s="240"/>
      <c r="AG337" s="240"/>
      <c r="AH337" s="240"/>
      <c r="AI337" s="240"/>
      <c r="AJ337" s="240"/>
      <c r="AK337" s="240"/>
      <c r="AL337" s="240"/>
      <c r="AM337" s="240"/>
      <c r="AN337" s="240"/>
    </row>
    <row r="338" ht="15.75" customHeight="1">
      <c r="A338" s="145"/>
      <c r="B338" s="145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  <c r="AA338" s="240"/>
      <c r="AB338" s="240"/>
      <c r="AC338" s="240"/>
      <c r="AD338" s="240"/>
      <c r="AE338" s="240"/>
      <c r="AF338" s="240"/>
      <c r="AG338" s="240"/>
      <c r="AH338" s="240"/>
      <c r="AI338" s="240"/>
      <c r="AJ338" s="240"/>
      <c r="AK338" s="240"/>
      <c r="AL338" s="240"/>
      <c r="AM338" s="240"/>
      <c r="AN338" s="240"/>
    </row>
    <row r="339" ht="15.75" customHeight="1">
      <c r="A339" s="145"/>
      <c r="B339" s="145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  <c r="AA339" s="240"/>
      <c r="AB339" s="240"/>
      <c r="AC339" s="240"/>
      <c r="AD339" s="240"/>
      <c r="AE339" s="240"/>
      <c r="AF339" s="240"/>
      <c r="AG339" s="240"/>
      <c r="AH339" s="240"/>
      <c r="AI339" s="240"/>
      <c r="AJ339" s="240"/>
      <c r="AK339" s="240"/>
      <c r="AL339" s="240"/>
      <c r="AM339" s="240"/>
      <c r="AN339" s="240"/>
    </row>
    <row r="340" ht="15.75" customHeight="1">
      <c r="A340" s="145"/>
      <c r="B340" s="145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  <c r="AA340" s="240"/>
      <c r="AB340" s="240"/>
      <c r="AC340" s="240"/>
      <c r="AD340" s="240"/>
      <c r="AE340" s="240"/>
      <c r="AF340" s="240"/>
      <c r="AG340" s="240"/>
      <c r="AH340" s="240"/>
      <c r="AI340" s="240"/>
      <c r="AJ340" s="240"/>
      <c r="AK340" s="240"/>
      <c r="AL340" s="240"/>
      <c r="AM340" s="240"/>
      <c r="AN340" s="240"/>
    </row>
    <row r="341" ht="15.75" customHeight="1">
      <c r="A341" s="145"/>
      <c r="B341" s="145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  <c r="AA341" s="240"/>
      <c r="AB341" s="240"/>
      <c r="AC341" s="240"/>
      <c r="AD341" s="240"/>
      <c r="AE341" s="240"/>
      <c r="AF341" s="240"/>
      <c r="AG341" s="240"/>
      <c r="AH341" s="240"/>
      <c r="AI341" s="240"/>
      <c r="AJ341" s="240"/>
      <c r="AK341" s="240"/>
      <c r="AL341" s="240"/>
      <c r="AM341" s="240"/>
      <c r="AN341" s="240"/>
    </row>
    <row r="342" ht="15.75" customHeight="1">
      <c r="A342" s="145"/>
      <c r="B342" s="145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  <c r="AA342" s="240"/>
      <c r="AB342" s="240"/>
      <c r="AC342" s="240"/>
      <c r="AD342" s="240"/>
      <c r="AE342" s="240"/>
      <c r="AF342" s="240"/>
      <c r="AG342" s="240"/>
      <c r="AH342" s="240"/>
      <c r="AI342" s="240"/>
      <c r="AJ342" s="240"/>
      <c r="AK342" s="240"/>
      <c r="AL342" s="240"/>
      <c r="AM342" s="240"/>
      <c r="AN342" s="240"/>
    </row>
    <row r="343" ht="15.75" customHeight="1">
      <c r="A343" s="145"/>
      <c r="B343" s="145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  <c r="AA343" s="240"/>
      <c r="AB343" s="240"/>
      <c r="AC343" s="240"/>
      <c r="AD343" s="240"/>
      <c r="AE343" s="240"/>
      <c r="AF343" s="240"/>
      <c r="AG343" s="240"/>
      <c r="AH343" s="240"/>
      <c r="AI343" s="240"/>
      <c r="AJ343" s="240"/>
      <c r="AK343" s="240"/>
      <c r="AL343" s="240"/>
      <c r="AM343" s="240"/>
      <c r="AN343" s="240"/>
    </row>
    <row r="344" ht="15.75" customHeight="1">
      <c r="A344" s="145"/>
      <c r="B344" s="145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  <c r="AA344" s="240"/>
      <c r="AB344" s="240"/>
      <c r="AC344" s="240"/>
      <c r="AD344" s="240"/>
      <c r="AE344" s="240"/>
      <c r="AF344" s="240"/>
      <c r="AG344" s="240"/>
      <c r="AH344" s="240"/>
      <c r="AI344" s="240"/>
      <c r="AJ344" s="240"/>
      <c r="AK344" s="240"/>
      <c r="AL344" s="240"/>
      <c r="AM344" s="240"/>
      <c r="AN344" s="240"/>
    </row>
    <row r="345" ht="15.75" customHeight="1">
      <c r="A345" s="145"/>
      <c r="B345" s="145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  <c r="AA345" s="240"/>
      <c r="AB345" s="240"/>
      <c r="AC345" s="240"/>
      <c r="AD345" s="240"/>
      <c r="AE345" s="240"/>
      <c r="AF345" s="240"/>
      <c r="AG345" s="240"/>
      <c r="AH345" s="240"/>
      <c r="AI345" s="240"/>
      <c r="AJ345" s="240"/>
      <c r="AK345" s="240"/>
      <c r="AL345" s="240"/>
      <c r="AM345" s="240"/>
      <c r="AN345" s="240"/>
    </row>
    <row r="346" ht="15.75" customHeight="1">
      <c r="A346" s="145"/>
      <c r="B346" s="145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  <c r="AA346" s="240"/>
      <c r="AB346" s="240"/>
      <c r="AC346" s="240"/>
      <c r="AD346" s="240"/>
      <c r="AE346" s="240"/>
      <c r="AF346" s="240"/>
      <c r="AG346" s="240"/>
      <c r="AH346" s="240"/>
      <c r="AI346" s="240"/>
      <c r="AJ346" s="240"/>
      <c r="AK346" s="240"/>
      <c r="AL346" s="240"/>
      <c r="AM346" s="240"/>
      <c r="AN346" s="240"/>
    </row>
    <row r="347" ht="15.75" customHeight="1">
      <c r="A347" s="145"/>
      <c r="B347" s="145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  <c r="AA347" s="240"/>
      <c r="AB347" s="240"/>
      <c r="AC347" s="240"/>
      <c r="AD347" s="240"/>
      <c r="AE347" s="240"/>
      <c r="AF347" s="240"/>
      <c r="AG347" s="240"/>
      <c r="AH347" s="240"/>
      <c r="AI347" s="240"/>
      <c r="AJ347" s="240"/>
      <c r="AK347" s="240"/>
      <c r="AL347" s="240"/>
      <c r="AM347" s="240"/>
      <c r="AN347" s="240"/>
    </row>
    <row r="348" ht="15.75" customHeight="1">
      <c r="A348" s="145"/>
      <c r="B348" s="145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  <c r="AA348" s="240"/>
      <c r="AB348" s="240"/>
      <c r="AC348" s="240"/>
      <c r="AD348" s="240"/>
      <c r="AE348" s="240"/>
      <c r="AF348" s="240"/>
      <c r="AG348" s="240"/>
      <c r="AH348" s="240"/>
      <c r="AI348" s="240"/>
      <c r="AJ348" s="240"/>
      <c r="AK348" s="240"/>
      <c r="AL348" s="240"/>
      <c r="AM348" s="240"/>
      <c r="AN348" s="240"/>
    </row>
    <row r="349" ht="15.75" customHeight="1">
      <c r="A349" s="145"/>
      <c r="B349" s="145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  <c r="AA349" s="240"/>
      <c r="AB349" s="240"/>
      <c r="AC349" s="240"/>
      <c r="AD349" s="240"/>
      <c r="AE349" s="240"/>
      <c r="AF349" s="240"/>
      <c r="AG349" s="240"/>
      <c r="AH349" s="240"/>
      <c r="AI349" s="240"/>
      <c r="AJ349" s="240"/>
      <c r="AK349" s="240"/>
      <c r="AL349" s="240"/>
      <c r="AM349" s="240"/>
      <c r="AN349" s="240"/>
    </row>
    <row r="350" ht="15.75" customHeight="1">
      <c r="A350" s="145"/>
      <c r="B350" s="145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  <c r="AA350" s="240"/>
      <c r="AB350" s="240"/>
      <c r="AC350" s="240"/>
      <c r="AD350" s="240"/>
      <c r="AE350" s="240"/>
      <c r="AF350" s="240"/>
      <c r="AG350" s="240"/>
      <c r="AH350" s="240"/>
      <c r="AI350" s="240"/>
      <c r="AJ350" s="240"/>
      <c r="AK350" s="240"/>
      <c r="AL350" s="240"/>
      <c r="AM350" s="240"/>
      <c r="AN350" s="240"/>
    </row>
    <row r="351" ht="15.75" customHeight="1">
      <c r="A351" s="145"/>
      <c r="B351" s="145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  <c r="AA351" s="240"/>
      <c r="AB351" s="240"/>
      <c r="AC351" s="240"/>
      <c r="AD351" s="240"/>
      <c r="AE351" s="240"/>
      <c r="AF351" s="240"/>
      <c r="AG351" s="240"/>
      <c r="AH351" s="240"/>
      <c r="AI351" s="240"/>
      <c r="AJ351" s="240"/>
      <c r="AK351" s="240"/>
      <c r="AL351" s="240"/>
      <c r="AM351" s="240"/>
      <c r="AN351" s="240"/>
    </row>
    <row r="352" ht="15.75" customHeight="1">
      <c r="A352" s="145"/>
      <c r="B352" s="145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  <c r="AA352" s="240"/>
      <c r="AB352" s="240"/>
      <c r="AC352" s="240"/>
      <c r="AD352" s="240"/>
      <c r="AE352" s="240"/>
      <c r="AF352" s="240"/>
      <c r="AG352" s="240"/>
      <c r="AH352" s="240"/>
      <c r="AI352" s="240"/>
      <c r="AJ352" s="240"/>
      <c r="AK352" s="240"/>
      <c r="AL352" s="240"/>
      <c r="AM352" s="240"/>
      <c r="AN352" s="240"/>
    </row>
    <row r="353" ht="15.75" customHeight="1">
      <c r="A353" s="145"/>
      <c r="B353" s="145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  <c r="AA353" s="240"/>
      <c r="AB353" s="240"/>
      <c r="AC353" s="240"/>
      <c r="AD353" s="240"/>
      <c r="AE353" s="240"/>
      <c r="AF353" s="240"/>
      <c r="AG353" s="240"/>
      <c r="AH353" s="240"/>
      <c r="AI353" s="240"/>
      <c r="AJ353" s="240"/>
      <c r="AK353" s="240"/>
      <c r="AL353" s="240"/>
      <c r="AM353" s="240"/>
      <c r="AN353" s="240"/>
    </row>
    <row r="354" ht="15.75" customHeight="1">
      <c r="A354" s="145"/>
      <c r="B354" s="145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  <c r="AA354" s="240"/>
      <c r="AB354" s="240"/>
      <c r="AC354" s="240"/>
      <c r="AD354" s="240"/>
      <c r="AE354" s="240"/>
      <c r="AF354" s="240"/>
      <c r="AG354" s="240"/>
      <c r="AH354" s="240"/>
      <c r="AI354" s="240"/>
      <c r="AJ354" s="240"/>
      <c r="AK354" s="240"/>
      <c r="AL354" s="240"/>
      <c r="AM354" s="240"/>
      <c r="AN354" s="240"/>
    </row>
    <row r="355" ht="15.75" customHeight="1">
      <c r="A355" s="145"/>
      <c r="B355" s="145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  <c r="AA355" s="240"/>
      <c r="AB355" s="240"/>
      <c r="AC355" s="240"/>
      <c r="AD355" s="240"/>
      <c r="AE355" s="240"/>
      <c r="AF355" s="240"/>
      <c r="AG355" s="240"/>
      <c r="AH355" s="240"/>
      <c r="AI355" s="240"/>
      <c r="AJ355" s="240"/>
      <c r="AK355" s="240"/>
      <c r="AL355" s="240"/>
      <c r="AM355" s="240"/>
      <c r="AN355" s="240"/>
    </row>
    <row r="356" ht="15.75" customHeight="1">
      <c r="A356" s="145"/>
      <c r="B356" s="145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  <c r="AA356" s="240"/>
      <c r="AB356" s="240"/>
      <c r="AC356" s="240"/>
      <c r="AD356" s="240"/>
      <c r="AE356" s="240"/>
      <c r="AF356" s="240"/>
      <c r="AG356" s="240"/>
      <c r="AH356" s="240"/>
      <c r="AI356" s="240"/>
      <c r="AJ356" s="240"/>
      <c r="AK356" s="240"/>
      <c r="AL356" s="240"/>
      <c r="AM356" s="240"/>
      <c r="AN356" s="240"/>
    </row>
    <row r="357" ht="15.75" customHeight="1">
      <c r="A357" s="145"/>
      <c r="B357" s="145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  <c r="AA357" s="240"/>
      <c r="AB357" s="240"/>
      <c r="AC357" s="240"/>
      <c r="AD357" s="240"/>
      <c r="AE357" s="240"/>
      <c r="AF357" s="240"/>
      <c r="AG357" s="240"/>
      <c r="AH357" s="240"/>
      <c r="AI357" s="240"/>
      <c r="AJ357" s="240"/>
      <c r="AK357" s="240"/>
      <c r="AL357" s="240"/>
      <c r="AM357" s="240"/>
      <c r="AN357" s="240"/>
    </row>
    <row r="358" ht="15.75" customHeight="1">
      <c r="A358" s="145"/>
      <c r="B358" s="145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  <c r="AA358" s="240"/>
      <c r="AB358" s="240"/>
      <c r="AC358" s="240"/>
      <c r="AD358" s="240"/>
      <c r="AE358" s="240"/>
      <c r="AF358" s="240"/>
      <c r="AG358" s="240"/>
      <c r="AH358" s="240"/>
      <c r="AI358" s="240"/>
      <c r="AJ358" s="240"/>
      <c r="AK358" s="240"/>
      <c r="AL358" s="240"/>
      <c r="AM358" s="240"/>
      <c r="AN358" s="240"/>
    </row>
    <row r="359" ht="15.75" customHeight="1">
      <c r="A359" s="145"/>
      <c r="B359" s="145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  <c r="AA359" s="240"/>
      <c r="AB359" s="240"/>
      <c r="AC359" s="240"/>
      <c r="AD359" s="240"/>
      <c r="AE359" s="240"/>
      <c r="AF359" s="240"/>
      <c r="AG359" s="240"/>
      <c r="AH359" s="240"/>
      <c r="AI359" s="240"/>
      <c r="AJ359" s="240"/>
      <c r="AK359" s="240"/>
      <c r="AL359" s="240"/>
      <c r="AM359" s="240"/>
      <c r="AN359" s="240"/>
    </row>
    <row r="360" ht="15.75" customHeight="1">
      <c r="A360" s="145"/>
      <c r="B360" s="145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  <c r="AA360" s="240"/>
      <c r="AB360" s="240"/>
      <c r="AC360" s="240"/>
      <c r="AD360" s="240"/>
      <c r="AE360" s="240"/>
      <c r="AF360" s="240"/>
      <c r="AG360" s="240"/>
      <c r="AH360" s="240"/>
      <c r="AI360" s="240"/>
      <c r="AJ360" s="240"/>
      <c r="AK360" s="240"/>
      <c r="AL360" s="240"/>
      <c r="AM360" s="240"/>
      <c r="AN360" s="240"/>
    </row>
    <row r="361" ht="15.75" customHeight="1">
      <c r="A361" s="145"/>
      <c r="B361" s="145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  <c r="AA361" s="240"/>
      <c r="AB361" s="240"/>
      <c r="AC361" s="240"/>
      <c r="AD361" s="240"/>
      <c r="AE361" s="240"/>
      <c r="AF361" s="240"/>
      <c r="AG361" s="240"/>
      <c r="AH361" s="240"/>
      <c r="AI361" s="240"/>
      <c r="AJ361" s="240"/>
      <c r="AK361" s="240"/>
      <c r="AL361" s="240"/>
      <c r="AM361" s="240"/>
      <c r="AN361" s="240"/>
    </row>
    <row r="362" ht="15.75" customHeight="1">
      <c r="A362" s="145"/>
      <c r="B362" s="145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  <c r="AA362" s="240"/>
      <c r="AB362" s="240"/>
      <c r="AC362" s="240"/>
      <c r="AD362" s="240"/>
      <c r="AE362" s="240"/>
      <c r="AF362" s="240"/>
      <c r="AG362" s="240"/>
      <c r="AH362" s="240"/>
      <c r="AI362" s="240"/>
      <c r="AJ362" s="240"/>
      <c r="AK362" s="240"/>
      <c r="AL362" s="240"/>
      <c r="AM362" s="240"/>
      <c r="AN362" s="240"/>
    </row>
    <row r="363" ht="15.75" customHeight="1">
      <c r="A363" s="145"/>
      <c r="B363" s="145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  <c r="AA363" s="240"/>
      <c r="AB363" s="240"/>
      <c r="AC363" s="240"/>
      <c r="AD363" s="240"/>
      <c r="AE363" s="240"/>
      <c r="AF363" s="240"/>
      <c r="AG363" s="240"/>
      <c r="AH363" s="240"/>
      <c r="AI363" s="240"/>
      <c r="AJ363" s="240"/>
      <c r="AK363" s="240"/>
      <c r="AL363" s="240"/>
      <c r="AM363" s="240"/>
      <c r="AN363" s="240"/>
    </row>
    <row r="364" ht="15.75" customHeight="1">
      <c r="A364" s="145"/>
      <c r="B364" s="145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  <c r="AA364" s="240"/>
      <c r="AB364" s="240"/>
      <c r="AC364" s="240"/>
      <c r="AD364" s="240"/>
      <c r="AE364" s="240"/>
      <c r="AF364" s="240"/>
      <c r="AG364" s="240"/>
      <c r="AH364" s="240"/>
      <c r="AI364" s="240"/>
      <c r="AJ364" s="240"/>
      <c r="AK364" s="240"/>
      <c r="AL364" s="240"/>
      <c r="AM364" s="240"/>
      <c r="AN364" s="240"/>
    </row>
    <row r="365" ht="15.75" customHeight="1">
      <c r="A365" s="145"/>
      <c r="B365" s="145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  <c r="AA365" s="240"/>
      <c r="AB365" s="240"/>
      <c r="AC365" s="240"/>
      <c r="AD365" s="240"/>
      <c r="AE365" s="240"/>
      <c r="AF365" s="240"/>
      <c r="AG365" s="240"/>
      <c r="AH365" s="240"/>
      <c r="AI365" s="240"/>
      <c r="AJ365" s="240"/>
      <c r="AK365" s="240"/>
      <c r="AL365" s="240"/>
      <c r="AM365" s="240"/>
      <c r="AN365" s="240"/>
    </row>
    <row r="366" ht="15.75" customHeight="1">
      <c r="A366" s="145"/>
      <c r="B366" s="145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  <c r="AA366" s="240"/>
      <c r="AB366" s="240"/>
      <c r="AC366" s="240"/>
      <c r="AD366" s="240"/>
      <c r="AE366" s="240"/>
      <c r="AF366" s="240"/>
      <c r="AG366" s="240"/>
      <c r="AH366" s="240"/>
      <c r="AI366" s="240"/>
      <c r="AJ366" s="240"/>
      <c r="AK366" s="240"/>
      <c r="AL366" s="240"/>
      <c r="AM366" s="240"/>
      <c r="AN366" s="240"/>
    </row>
    <row r="367" ht="15.75" customHeight="1">
      <c r="A367" s="145"/>
      <c r="B367" s="145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  <c r="AA367" s="240"/>
      <c r="AB367" s="240"/>
      <c r="AC367" s="240"/>
      <c r="AD367" s="240"/>
      <c r="AE367" s="240"/>
      <c r="AF367" s="240"/>
      <c r="AG367" s="240"/>
      <c r="AH367" s="240"/>
      <c r="AI367" s="240"/>
      <c r="AJ367" s="240"/>
      <c r="AK367" s="240"/>
      <c r="AL367" s="240"/>
      <c r="AM367" s="240"/>
      <c r="AN367" s="240"/>
    </row>
    <row r="368" ht="15.75" customHeight="1">
      <c r="A368" s="145"/>
      <c r="B368" s="145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  <c r="AA368" s="240"/>
      <c r="AB368" s="240"/>
      <c r="AC368" s="240"/>
      <c r="AD368" s="240"/>
      <c r="AE368" s="240"/>
      <c r="AF368" s="240"/>
      <c r="AG368" s="240"/>
      <c r="AH368" s="240"/>
      <c r="AI368" s="240"/>
      <c r="AJ368" s="240"/>
      <c r="AK368" s="240"/>
      <c r="AL368" s="240"/>
      <c r="AM368" s="240"/>
      <c r="AN368" s="240"/>
    </row>
    <row r="369" ht="15.75" customHeight="1">
      <c r="A369" s="145"/>
      <c r="B369" s="145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  <c r="AA369" s="240"/>
      <c r="AB369" s="240"/>
      <c r="AC369" s="240"/>
      <c r="AD369" s="240"/>
      <c r="AE369" s="240"/>
      <c r="AF369" s="240"/>
      <c r="AG369" s="240"/>
      <c r="AH369" s="240"/>
      <c r="AI369" s="240"/>
      <c r="AJ369" s="240"/>
      <c r="AK369" s="240"/>
      <c r="AL369" s="240"/>
      <c r="AM369" s="240"/>
      <c r="AN369" s="240"/>
    </row>
    <row r="370" ht="15.75" customHeight="1">
      <c r="A370" s="145"/>
      <c r="B370" s="145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  <c r="AA370" s="240"/>
      <c r="AB370" s="240"/>
      <c r="AC370" s="240"/>
      <c r="AD370" s="240"/>
      <c r="AE370" s="240"/>
      <c r="AF370" s="240"/>
      <c r="AG370" s="240"/>
      <c r="AH370" s="240"/>
      <c r="AI370" s="240"/>
      <c r="AJ370" s="240"/>
      <c r="AK370" s="240"/>
      <c r="AL370" s="240"/>
      <c r="AM370" s="240"/>
      <c r="AN370" s="240"/>
    </row>
    <row r="371" ht="15.75" customHeight="1">
      <c r="A371" s="145"/>
      <c r="B371" s="145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  <c r="AA371" s="240"/>
      <c r="AB371" s="240"/>
      <c r="AC371" s="240"/>
      <c r="AD371" s="240"/>
      <c r="AE371" s="240"/>
      <c r="AF371" s="240"/>
      <c r="AG371" s="240"/>
      <c r="AH371" s="240"/>
      <c r="AI371" s="240"/>
      <c r="AJ371" s="240"/>
      <c r="AK371" s="240"/>
      <c r="AL371" s="240"/>
      <c r="AM371" s="240"/>
      <c r="AN371" s="240"/>
    </row>
    <row r="372" ht="15.75" customHeight="1">
      <c r="A372" s="145"/>
      <c r="B372" s="145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  <c r="AA372" s="240"/>
      <c r="AB372" s="240"/>
      <c r="AC372" s="240"/>
      <c r="AD372" s="240"/>
      <c r="AE372" s="240"/>
      <c r="AF372" s="240"/>
      <c r="AG372" s="240"/>
      <c r="AH372" s="240"/>
      <c r="AI372" s="240"/>
      <c r="AJ372" s="240"/>
      <c r="AK372" s="240"/>
      <c r="AL372" s="240"/>
      <c r="AM372" s="240"/>
      <c r="AN372" s="240"/>
    </row>
    <row r="373" ht="15.75" customHeight="1">
      <c r="A373" s="145"/>
      <c r="B373" s="145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  <c r="AA373" s="240"/>
      <c r="AB373" s="240"/>
      <c r="AC373" s="240"/>
      <c r="AD373" s="240"/>
      <c r="AE373" s="240"/>
      <c r="AF373" s="240"/>
      <c r="AG373" s="240"/>
      <c r="AH373" s="240"/>
      <c r="AI373" s="240"/>
      <c r="AJ373" s="240"/>
      <c r="AK373" s="240"/>
      <c r="AL373" s="240"/>
      <c r="AM373" s="240"/>
      <c r="AN373" s="240"/>
    </row>
    <row r="374" ht="15.75" customHeight="1">
      <c r="A374" s="145"/>
      <c r="B374" s="145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  <c r="AA374" s="240"/>
      <c r="AB374" s="240"/>
      <c r="AC374" s="240"/>
      <c r="AD374" s="240"/>
      <c r="AE374" s="240"/>
      <c r="AF374" s="240"/>
      <c r="AG374" s="240"/>
      <c r="AH374" s="240"/>
      <c r="AI374" s="240"/>
      <c r="AJ374" s="240"/>
      <c r="AK374" s="240"/>
      <c r="AL374" s="240"/>
      <c r="AM374" s="240"/>
      <c r="AN374" s="240"/>
    </row>
    <row r="375" ht="15.75" customHeight="1">
      <c r="A375" s="145"/>
      <c r="B375" s="145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  <c r="AA375" s="240"/>
      <c r="AB375" s="240"/>
      <c r="AC375" s="240"/>
      <c r="AD375" s="240"/>
      <c r="AE375" s="240"/>
      <c r="AF375" s="240"/>
      <c r="AG375" s="240"/>
      <c r="AH375" s="240"/>
      <c r="AI375" s="240"/>
      <c r="AJ375" s="240"/>
      <c r="AK375" s="240"/>
      <c r="AL375" s="240"/>
      <c r="AM375" s="240"/>
      <c r="AN375" s="240"/>
    </row>
    <row r="376" ht="15.75" customHeight="1">
      <c r="A376" s="145"/>
      <c r="B376" s="145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  <c r="AA376" s="240"/>
      <c r="AB376" s="240"/>
      <c r="AC376" s="240"/>
      <c r="AD376" s="240"/>
      <c r="AE376" s="240"/>
      <c r="AF376" s="240"/>
      <c r="AG376" s="240"/>
      <c r="AH376" s="240"/>
      <c r="AI376" s="240"/>
      <c r="AJ376" s="240"/>
      <c r="AK376" s="240"/>
      <c r="AL376" s="240"/>
      <c r="AM376" s="240"/>
      <c r="AN376" s="240"/>
    </row>
    <row r="377" ht="15.75" customHeight="1">
      <c r="A377" s="145"/>
      <c r="B377" s="145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  <c r="AA377" s="240"/>
      <c r="AB377" s="240"/>
      <c r="AC377" s="240"/>
      <c r="AD377" s="240"/>
      <c r="AE377" s="240"/>
      <c r="AF377" s="240"/>
      <c r="AG377" s="240"/>
      <c r="AH377" s="240"/>
      <c r="AI377" s="240"/>
      <c r="AJ377" s="240"/>
      <c r="AK377" s="240"/>
      <c r="AL377" s="240"/>
      <c r="AM377" s="240"/>
      <c r="AN377" s="240"/>
    </row>
    <row r="378" ht="15.75" customHeight="1">
      <c r="A378" s="145"/>
      <c r="B378" s="145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  <c r="AA378" s="240"/>
      <c r="AB378" s="240"/>
      <c r="AC378" s="240"/>
      <c r="AD378" s="240"/>
      <c r="AE378" s="240"/>
      <c r="AF378" s="240"/>
      <c r="AG378" s="240"/>
      <c r="AH378" s="240"/>
      <c r="AI378" s="240"/>
      <c r="AJ378" s="240"/>
      <c r="AK378" s="240"/>
      <c r="AL378" s="240"/>
      <c r="AM378" s="240"/>
      <c r="AN378" s="240"/>
    </row>
    <row r="379" ht="15.75" customHeight="1">
      <c r="A379" s="145"/>
      <c r="B379" s="145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  <c r="AA379" s="240"/>
      <c r="AB379" s="240"/>
      <c r="AC379" s="240"/>
      <c r="AD379" s="240"/>
      <c r="AE379" s="240"/>
      <c r="AF379" s="240"/>
      <c r="AG379" s="240"/>
      <c r="AH379" s="240"/>
      <c r="AI379" s="240"/>
      <c r="AJ379" s="240"/>
      <c r="AK379" s="240"/>
      <c r="AL379" s="240"/>
      <c r="AM379" s="240"/>
      <c r="AN379" s="240"/>
    </row>
    <row r="380" ht="15.75" customHeight="1">
      <c r="A380" s="145"/>
      <c r="B380" s="145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  <c r="AB380" s="240"/>
      <c r="AC380" s="240"/>
      <c r="AD380" s="240"/>
      <c r="AE380" s="240"/>
      <c r="AF380" s="240"/>
      <c r="AG380" s="240"/>
      <c r="AH380" s="240"/>
      <c r="AI380" s="240"/>
      <c r="AJ380" s="240"/>
      <c r="AK380" s="240"/>
      <c r="AL380" s="240"/>
      <c r="AM380" s="240"/>
      <c r="AN380" s="240"/>
    </row>
    <row r="381" ht="15.75" customHeight="1">
      <c r="A381" s="145"/>
      <c r="B381" s="145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  <c r="AA381" s="240"/>
      <c r="AB381" s="240"/>
      <c r="AC381" s="240"/>
      <c r="AD381" s="240"/>
      <c r="AE381" s="240"/>
      <c r="AF381" s="240"/>
      <c r="AG381" s="240"/>
      <c r="AH381" s="240"/>
      <c r="AI381" s="240"/>
      <c r="AJ381" s="240"/>
      <c r="AK381" s="240"/>
      <c r="AL381" s="240"/>
      <c r="AM381" s="240"/>
      <c r="AN381" s="240"/>
    </row>
    <row r="382" ht="15.75" customHeight="1">
      <c r="A382" s="145"/>
      <c r="B382" s="145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  <c r="AA382" s="240"/>
      <c r="AB382" s="240"/>
      <c r="AC382" s="240"/>
      <c r="AD382" s="240"/>
      <c r="AE382" s="240"/>
      <c r="AF382" s="240"/>
      <c r="AG382" s="240"/>
      <c r="AH382" s="240"/>
      <c r="AI382" s="240"/>
      <c r="AJ382" s="240"/>
      <c r="AK382" s="240"/>
      <c r="AL382" s="240"/>
      <c r="AM382" s="240"/>
      <c r="AN382" s="240"/>
    </row>
    <row r="383" ht="15.75" customHeight="1">
      <c r="A383" s="145"/>
      <c r="B383" s="145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  <c r="AA383" s="240"/>
      <c r="AB383" s="240"/>
      <c r="AC383" s="240"/>
      <c r="AD383" s="240"/>
      <c r="AE383" s="240"/>
      <c r="AF383" s="240"/>
      <c r="AG383" s="240"/>
      <c r="AH383" s="240"/>
      <c r="AI383" s="240"/>
      <c r="AJ383" s="240"/>
      <c r="AK383" s="240"/>
      <c r="AL383" s="240"/>
      <c r="AM383" s="240"/>
      <c r="AN383" s="240"/>
    </row>
    <row r="384" ht="15.75" customHeight="1">
      <c r="A384" s="145"/>
      <c r="B384" s="145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  <c r="AA384" s="240"/>
      <c r="AB384" s="240"/>
      <c r="AC384" s="240"/>
      <c r="AD384" s="240"/>
      <c r="AE384" s="240"/>
      <c r="AF384" s="240"/>
      <c r="AG384" s="240"/>
      <c r="AH384" s="240"/>
      <c r="AI384" s="240"/>
      <c r="AJ384" s="240"/>
      <c r="AK384" s="240"/>
      <c r="AL384" s="240"/>
      <c r="AM384" s="240"/>
      <c r="AN384" s="240"/>
    </row>
    <row r="385" ht="15.75" customHeight="1">
      <c r="A385" s="145"/>
      <c r="B385" s="145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  <c r="AA385" s="240"/>
      <c r="AB385" s="240"/>
      <c r="AC385" s="240"/>
      <c r="AD385" s="240"/>
      <c r="AE385" s="240"/>
      <c r="AF385" s="240"/>
      <c r="AG385" s="240"/>
      <c r="AH385" s="240"/>
      <c r="AI385" s="240"/>
      <c r="AJ385" s="240"/>
      <c r="AK385" s="240"/>
      <c r="AL385" s="240"/>
      <c r="AM385" s="240"/>
      <c r="AN385" s="240"/>
    </row>
    <row r="386" ht="15.75" customHeight="1">
      <c r="A386" s="145"/>
      <c r="B386" s="145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  <c r="AA386" s="240"/>
      <c r="AB386" s="240"/>
      <c r="AC386" s="240"/>
      <c r="AD386" s="240"/>
      <c r="AE386" s="240"/>
      <c r="AF386" s="240"/>
      <c r="AG386" s="240"/>
      <c r="AH386" s="240"/>
      <c r="AI386" s="240"/>
      <c r="AJ386" s="240"/>
      <c r="AK386" s="240"/>
      <c r="AL386" s="240"/>
      <c r="AM386" s="240"/>
      <c r="AN386" s="240"/>
    </row>
    <row r="387" ht="15.75" customHeight="1">
      <c r="A387" s="145"/>
      <c r="B387" s="145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  <c r="AA387" s="240"/>
      <c r="AB387" s="240"/>
      <c r="AC387" s="240"/>
      <c r="AD387" s="240"/>
      <c r="AE387" s="240"/>
      <c r="AF387" s="240"/>
      <c r="AG387" s="240"/>
      <c r="AH387" s="240"/>
      <c r="AI387" s="240"/>
      <c r="AJ387" s="240"/>
      <c r="AK387" s="240"/>
      <c r="AL387" s="240"/>
      <c r="AM387" s="240"/>
      <c r="AN387" s="240"/>
    </row>
    <row r="388" ht="15.75" customHeight="1">
      <c r="A388" s="145"/>
      <c r="B388" s="145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  <c r="AA388" s="240"/>
      <c r="AB388" s="240"/>
      <c r="AC388" s="240"/>
      <c r="AD388" s="240"/>
      <c r="AE388" s="240"/>
      <c r="AF388" s="240"/>
      <c r="AG388" s="240"/>
      <c r="AH388" s="240"/>
      <c r="AI388" s="240"/>
      <c r="AJ388" s="240"/>
      <c r="AK388" s="240"/>
      <c r="AL388" s="240"/>
      <c r="AM388" s="240"/>
      <c r="AN388" s="240"/>
    </row>
    <row r="389" ht="15.75" customHeight="1">
      <c r="A389" s="145"/>
      <c r="B389" s="145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  <c r="AA389" s="240"/>
      <c r="AB389" s="240"/>
      <c r="AC389" s="240"/>
      <c r="AD389" s="240"/>
      <c r="AE389" s="240"/>
      <c r="AF389" s="240"/>
      <c r="AG389" s="240"/>
      <c r="AH389" s="240"/>
      <c r="AI389" s="240"/>
      <c r="AJ389" s="240"/>
      <c r="AK389" s="240"/>
      <c r="AL389" s="240"/>
      <c r="AM389" s="240"/>
      <c r="AN389" s="240"/>
    </row>
    <row r="390" ht="15.75" customHeight="1">
      <c r="A390" s="145"/>
      <c r="B390" s="145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  <c r="AA390" s="240"/>
      <c r="AB390" s="240"/>
      <c r="AC390" s="240"/>
      <c r="AD390" s="240"/>
      <c r="AE390" s="240"/>
      <c r="AF390" s="240"/>
      <c r="AG390" s="240"/>
      <c r="AH390" s="240"/>
      <c r="AI390" s="240"/>
      <c r="AJ390" s="240"/>
      <c r="AK390" s="240"/>
      <c r="AL390" s="240"/>
      <c r="AM390" s="240"/>
      <c r="AN390" s="240"/>
    </row>
    <row r="391" ht="15.75" customHeight="1">
      <c r="A391" s="145"/>
      <c r="B391" s="145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  <c r="AA391" s="240"/>
      <c r="AB391" s="240"/>
      <c r="AC391" s="240"/>
      <c r="AD391" s="240"/>
      <c r="AE391" s="240"/>
      <c r="AF391" s="240"/>
      <c r="AG391" s="240"/>
      <c r="AH391" s="240"/>
      <c r="AI391" s="240"/>
      <c r="AJ391" s="240"/>
      <c r="AK391" s="240"/>
      <c r="AL391" s="240"/>
      <c r="AM391" s="240"/>
      <c r="AN391" s="240"/>
    </row>
    <row r="392" ht="15.75" customHeight="1">
      <c r="A392" s="145"/>
      <c r="B392" s="145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</row>
    <row r="393" ht="15.75" customHeight="1">
      <c r="A393" s="145"/>
      <c r="B393" s="145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  <c r="AA393" s="240"/>
      <c r="AB393" s="240"/>
      <c r="AC393" s="240"/>
      <c r="AD393" s="240"/>
      <c r="AE393" s="240"/>
      <c r="AF393" s="240"/>
      <c r="AG393" s="240"/>
      <c r="AH393" s="240"/>
      <c r="AI393" s="240"/>
      <c r="AJ393" s="240"/>
      <c r="AK393" s="240"/>
      <c r="AL393" s="240"/>
      <c r="AM393" s="240"/>
      <c r="AN393" s="240"/>
    </row>
    <row r="394" ht="15.75" customHeight="1">
      <c r="A394" s="145"/>
      <c r="B394" s="145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</row>
    <row r="395" ht="15.75" customHeight="1">
      <c r="A395" s="145"/>
      <c r="B395" s="145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</row>
    <row r="396" ht="15.75" customHeight="1">
      <c r="A396" s="145"/>
      <c r="B396" s="145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  <c r="AA396" s="240"/>
      <c r="AB396" s="240"/>
      <c r="AC396" s="240"/>
      <c r="AD396" s="240"/>
      <c r="AE396" s="240"/>
      <c r="AF396" s="240"/>
      <c r="AG396" s="240"/>
      <c r="AH396" s="240"/>
      <c r="AI396" s="240"/>
      <c r="AJ396" s="240"/>
      <c r="AK396" s="240"/>
      <c r="AL396" s="240"/>
      <c r="AM396" s="240"/>
      <c r="AN396" s="240"/>
    </row>
    <row r="397" ht="15.75" customHeight="1">
      <c r="A397" s="145"/>
      <c r="B397" s="145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  <c r="AA397" s="240"/>
      <c r="AB397" s="240"/>
      <c r="AC397" s="240"/>
      <c r="AD397" s="240"/>
      <c r="AE397" s="240"/>
      <c r="AF397" s="240"/>
      <c r="AG397" s="240"/>
      <c r="AH397" s="240"/>
      <c r="AI397" s="240"/>
      <c r="AJ397" s="240"/>
      <c r="AK397" s="240"/>
      <c r="AL397" s="240"/>
      <c r="AM397" s="240"/>
      <c r="AN397" s="240"/>
    </row>
    <row r="398" ht="15.75" customHeight="1">
      <c r="A398" s="145"/>
      <c r="B398" s="145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  <c r="AA398" s="240"/>
      <c r="AB398" s="240"/>
      <c r="AC398" s="240"/>
      <c r="AD398" s="240"/>
      <c r="AE398" s="240"/>
      <c r="AF398" s="240"/>
      <c r="AG398" s="240"/>
      <c r="AH398" s="240"/>
      <c r="AI398" s="240"/>
      <c r="AJ398" s="240"/>
      <c r="AK398" s="240"/>
      <c r="AL398" s="240"/>
      <c r="AM398" s="240"/>
      <c r="AN398" s="240"/>
    </row>
    <row r="399" ht="15.75" customHeight="1">
      <c r="A399" s="145"/>
      <c r="B399" s="145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  <c r="AA399" s="240"/>
      <c r="AB399" s="240"/>
      <c r="AC399" s="240"/>
      <c r="AD399" s="240"/>
      <c r="AE399" s="240"/>
      <c r="AF399" s="240"/>
      <c r="AG399" s="240"/>
      <c r="AH399" s="240"/>
      <c r="AI399" s="240"/>
      <c r="AJ399" s="240"/>
      <c r="AK399" s="240"/>
      <c r="AL399" s="240"/>
      <c r="AM399" s="240"/>
      <c r="AN399" s="240"/>
    </row>
    <row r="400" ht="15.75" customHeight="1">
      <c r="A400" s="145"/>
      <c r="B400" s="145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  <c r="AA400" s="240"/>
      <c r="AB400" s="240"/>
      <c r="AC400" s="240"/>
      <c r="AD400" s="240"/>
      <c r="AE400" s="240"/>
      <c r="AF400" s="240"/>
      <c r="AG400" s="240"/>
      <c r="AH400" s="240"/>
      <c r="AI400" s="240"/>
      <c r="AJ400" s="240"/>
      <c r="AK400" s="240"/>
      <c r="AL400" s="240"/>
      <c r="AM400" s="240"/>
      <c r="AN400" s="240"/>
    </row>
    <row r="401" ht="15.75" customHeight="1">
      <c r="A401" s="145"/>
      <c r="B401" s="145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  <c r="AA401" s="240"/>
      <c r="AB401" s="240"/>
      <c r="AC401" s="240"/>
      <c r="AD401" s="240"/>
      <c r="AE401" s="240"/>
      <c r="AF401" s="240"/>
      <c r="AG401" s="240"/>
      <c r="AH401" s="240"/>
      <c r="AI401" s="240"/>
      <c r="AJ401" s="240"/>
      <c r="AK401" s="240"/>
      <c r="AL401" s="240"/>
      <c r="AM401" s="240"/>
      <c r="AN401" s="240"/>
    </row>
    <row r="402" ht="15.75" customHeight="1">
      <c r="A402" s="145"/>
      <c r="B402" s="145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  <c r="AA402" s="240"/>
      <c r="AB402" s="240"/>
      <c r="AC402" s="240"/>
      <c r="AD402" s="240"/>
      <c r="AE402" s="240"/>
      <c r="AF402" s="240"/>
      <c r="AG402" s="240"/>
      <c r="AH402" s="240"/>
      <c r="AI402" s="240"/>
      <c r="AJ402" s="240"/>
      <c r="AK402" s="240"/>
      <c r="AL402" s="240"/>
      <c r="AM402" s="240"/>
      <c r="AN402" s="240"/>
    </row>
    <row r="403" ht="15.75" customHeight="1">
      <c r="A403" s="145"/>
      <c r="B403" s="145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  <c r="AA403" s="240"/>
      <c r="AB403" s="240"/>
      <c r="AC403" s="240"/>
      <c r="AD403" s="240"/>
      <c r="AE403" s="240"/>
      <c r="AF403" s="240"/>
      <c r="AG403" s="240"/>
      <c r="AH403" s="240"/>
      <c r="AI403" s="240"/>
      <c r="AJ403" s="240"/>
      <c r="AK403" s="240"/>
      <c r="AL403" s="240"/>
      <c r="AM403" s="240"/>
      <c r="AN403" s="240"/>
    </row>
    <row r="404" ht="15.75" customHeight="1">
      <c r="A404" s="145"/>
      <c r="B404" s="145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  <c r="AA404" s="240"/>
      <c r="AB404" s="240"/>
      <c r="AC404" s="240"/>
      <c r="AD404" s="240"/>
      <c r="AE404" s="240"/>
      <c r="AF404" s="240"/>
      <c r="AG404" s="240"/>
      <c r="AH404" s="240"/>
      <c r="AI404" s="240"/>
      <c r="AJ404" s="240"/>
      <c r="AK404" s="240"/>
      <c r="AL404" s="240"/>
      <c r="AM404" s="240"/>
      <c r="AN404" s="240"/>
    </row>
    <row r="405" ht="15.75" customHeight="1">
      <c r="A405" s="145"/>
      <c r="B405" s="145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  <c r="AA405" s="240"/>
      <c r="AB405" s="240"/>
      <c r="AC405" s="240"/>
      <c r="AD405" s="240"/>
      <c r="AE405" s="240"/>
      <c r="AF405" s="240"/>
      <c r="AG405" s="240"/>
      <c r="AH405" s="240"/>
      <c r="AI405" s="240"/>
      <c r="AJ405" s="240"/>
      <c r="AK405" s="240"/>
      <c r="AL405" s="240"/>
      <c r="AM405" s="240"/>
      <c r="AN405" s="240"/>
    </row>
    <row r="406" ht="15.75" customHeight="1">
      <c r="A406" s="145"/>
      <c r="B406" s="145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  <c r="AA406" s="240"/>
      <c r="AB406" s="240"/>
      <c r="AC406" s="240"/>
      <c r="AD406" s="240"/>
      <c r="AE406" s="240"/>
      <c r="AF406" s="240"/>
      <c r="AG406" s="240"/>
      <c r="AH406" s="240"/>
      <c r="AI406" s="240"/>
      <c r="AJ406" s="240"/>
      <c r="AK406" s="240"/>
      <c r="AL406" s="240"/>
      <c r="AM406" s="240"/>
      <c r="AN406" s="240"/>
    </row>
    <row r="407" ht="15.75" customHeight="1">
      <c r="A407" s="145"/>
      <c r="B407" s="145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  <c r="AA407" s="240"/>
      <c r="AB407" s="240"/>
      <c r="AC407" s="240"/>
      <c r="AD407" s="240"/>
      <c r="AE407" s="240"/>
      <c r="AF407" s="240"/>
      <c r="AG407" s="240"/>
      <c r="AH407" s="240"/>
      <c r="AI407" s="240"/>
      <c r="AJ407" s="240"/>
      <c r="AK407" s="240"/>
      <c r="AL407" s="240"/>
      <c r="AM407" s="240"/>
      <c r="AN407" s="240"/>
    </row>
    <row r="408" ht="15.75" customHeight="1">
      <c r="A408" s="145"/>
      <c r="B408" s="145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  <c r="AA408" s="240"/>
      <c r="AB408" s="240"/>
      <c r="AC408" s="240"/>
      <c r="AD408" s="240"/>
      <c r="AE408" s="240"/>
      <c r="AF408" s="240"/>
      <c r="AG408" s="240"/>
      <c r="AH408" s="240"/>
      <c r="AI408" s="240"/>
      <c r="AJ408" s="240"/>
      <c r="AK408" s="240"/>
      <c r="AL408" s="240"/>
      <c r="AM408" s="240"/>
      <c r="AN408" s="240"/>
    </row>
    <row r="409" ht="15.75" customHeight="1">
      <c r="A409" s="145"/>
      <c r="B409" s="145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  <c r="AA409" s="240"/>
      <c r="AB409" s="240"/>
      <c r="AC409" s="240"/>
      <c r="AD409" s="240"/>
      <c r="AE409" s="240"/>
      <c r="AF409" s="240"/>
      <c r="AG409" s="240"/>
      <c r="AH409" s="240"/>
      <c r="AI409" s="240"/>
      <c r="AJ409" s="240"/>
      <c r="AK409" s="240"/>
      <c r="AL409" s="240"/>
      <c r="AM409" s="240"/>
      <c r="AN409" s="240"/>
    </row>
    <row r="410" ht="15.75" customHeight="1">
      <c r="A410" s="145"/>
      <c r="B410" s="145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  <c r="AA410" s="240"/>
      <c r="AB410" s="240"/>
      <c r="AC410" s="240"/>
      <c r="AD410" s="240"/>
      <c r="AE410" s="240"/>
      <c r="AF410" s="240"/>
      <c r="AG410" s="240"/>
      <c r="AH410" s="240"/>
      <c r="AI410" s="240"/>
      <c r="AJ410" s="240"/>
      <c r="AK410" s="240"/>
      <c r="AL410" s="240"/>
      <c r="AM410" s="240"/>
      <c r="AN410" s="240"/>
    </row>
    <row r="411" ht="15.75" customHeight="1">
      <c r="A411" s="145"/>
      <c r="B411" s="145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  <c r="AA411" s="240"/>
      <c r="AB411" s="240"/>
      <c r="AC411" s="240"/>
      <c r="AD411" s="240"/>
      <c r="AE411" s="240"/>
      <c r="AF411" s="240"/>
      <c r="AG411" s="240"/>
      <c r="AH411" s="240"/>
      <c r="AI411" s="240"/>
      <c r="AJ411" s="240"/>
      <c r="AK411" s="240"/>
      <c r="AL411" s="240"/>
      <c r="AM411" s="240"/>
      <c r="AN411" s="240"/>
    </row>
    <row r="412" ht="15.75" customHeight="1">
      <c r="A412" s="145"/>
      <c r="B412" s="145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  <c r="AA412" s="240"/>
      <c r="AB412" s="240"/>
      <c r="AC412" s="240"/>
      <c r="AD412" s="240"/>
      <c r="AE412" s="240"/>
      <c r="AF412" s="240"/>
      <c r="AG412" s="240"/>
      <c r="AH412" s="240"/>
      <c r="AI412" s="240"/>
      <c r="AJ412" s="240"/>
      <c r="AK412" s="240"/>
      <c r="AL412" s="240"/>
      <c r="AM412" s="240"/>
      <c r="AN412" s="240"/>
    </row>
    <row r="413" ht="15.75" customHeight="1">
      <c r="A413" s="145"/>
      <c r="B413" s="145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  <c r="AA413" s="240"/>
      <c r="AB413" s="240"/>
      <c r="AC413" s="240"/>
      <c r="AD413" s="240"/>
      <c r="AE413" s="240"/>
      <c r="AF413" s="240"/>
      <c r="AG413" s="240"/>
      <c r="AH413" s="240"/>
      <c r="AI413" s="240"/>
      <c r="AJ413" s="240"/>
      <c r="AK413" s="240"/>
      <c r="AL413" s="240"/>
      <c r="AM413" s="240"/>
      <c r="AN413" s="240"/>
    </row>
    <row r="414" ht="15.75" customHeight="1">
      <c r="A414" s="145"/>
      <c r="B414" s="145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  <c r="AA414" s="240"/>
      <c r="AB414" s="240"/>
      <c r="AC414" s="240"/>
      <c r="AD414" s="240"/>
      <c r="AE414" s="240"/>
      <c r="AF414" s="240"/>
      <c r="AG414" s="240"/>
      <c r="AH414" s="240"/>
      <c r="AI414" s="240"/>
      <c r="AJ414" s="240"/>
      <c r="AK414" s="240"/>
      <c r="AL414" s="240"/>
      <c r="AM414" s="240"/>
      <c r="AN414" s="240"/>
    </row>
    <row r="415" ht="15.75" customHeight="1">
      <c r="A415" s="145"/>
      <c r="B415" s="145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  <c r="AA415" s="240"/>
      <c r="AB415" s="240"/>
      <c r="AC415" s="240"/>
      <c r="AD415" s="240"/>
      <c r="AE415" s="240"/>
      <c r="AF415" s="240"/>
      <c r="AG415" s="240"/>
      <c r="AH415" s="240"/>
      <c r="AI415" s="240"/>
      <c r="AJ415" s="240"/>
      <c r="AK415" s="240"/>
      <c r="AL415" s="240"/>
      <c r="AM415" s="240"/>
      <c r="AN415" s="240"/>
    </row>
    <row r="416" ht="15.75" customHeight="1">
      <c r="A416" s="145"/>
      <c r="B416" s="145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  <c r="AA416" s="240"/>
      <c r="AB416" s="240"/>
      <c r="AC416" s="240"/>
      <c r="AD416" s="240"/>
      <c r="AE416" s="240"/>
      <c r="AF416" s="240"/>
      <c r="AG416" s="240"/>
      <c r="AH416" s="240"/>
      <c r="AI416" s="240"/>
      <c r="AJ416" s="240"/>
      <c r="AK416" s="240"/>
      <c r="AL416" s="240"/>
      <c r="AM416" s="240"/>
      <c r="AN416" s="240"/>
    </row>
    <row r="417" ht="15.75" customHeight="1">
      <c r="A417" s="145"/>
      <c r="B417" s="145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  <c r="AA417" s="240"/>
      <c r="AB417" s="240"/>
      <c r="AC417" s="240"/>
      <c r="AD417" s="240"/>
      <c r="AE417" s="240"/>
      <c r="AF417" s="240"/>
      <c r="AG417" s="240"/>
      <c r="AH417" s="240"/>
      <c r="AI417" s="240"/>
      <c r="AJ417" s="240"/>
      <c r="AK417" s="240"/>
      <c r="AL417" s="240"/>
      <c r="AM417" s="240"/>
      <c r="AN417" s="240"/>
    </row>
    <row r="418" ht="15.75" customHeight="1">
      <c r="A418" s="145"/>
      <c r="B418" s="145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  <c r="AA418" s="240"/>
      <c r="AB418" s="240"/>
      <c r="AC418" s="240"/>
      <c r="AD418" s="240"/>
      <c r="AE418" s="240"/>
      <c r="AF418" s="240"/>
      <c r="AG418" s="240"/>
      <c r="AH418" s="240"/>
      <c r="AI418" s="240"/>
      <c r="AJ418" s="240"/>
      <c r="AK418" s="240"/>
      <c r="AL418" s="240"/>
      <c r="AM418" s="240"/>
      <c r="AN418" s="240"/>
    </row>
    <row r="419" ht="15.75" customHeight="1">
      <c r="A419" s="145"/>
      <c r="B419" s="145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  <c r="AA419" s="240"/>
      <c r="AB419" s="240"/>
      <c r="AC419" s="240"/>
      <c r="AD419" s="240"/>
      <c r="AE419" s="240"/>
      <c r="AF419" s="240"/>
      <c r="AG419" s="240"/>
      <c r="AH419" s="240"/>
      <c r="AI419" s="240"/>
      <c r="AJ419" s="240"/>
      <c r="AK419" s="240"/>
      <c r="AL419" s="240"/>
      <c r="AM419" s="240"/>
      <c r="AN419" s="240"/>
    </row>
    <row r="420" ht="15.75" customHeight="1">
      <c r="A420" s="145"/>
      <c r="B420" s="145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  <c r="AA420" s="240"/>
      <c r="AB420" s="240"/>
      <c r="AC420" s="240"/>
      <c r="AD420" s="240"/>
      <c r="AE420" s="240"/>
      <c r="AF420" s="240"/>
      <c r="AG420" s="240"/>
      <c r="AH420" s="240"/>
      <c r="AI420" s="240"/>
      <c r="AJ420" s="240"/>
      <c r="AK420" s="240"/>
      <c r="AL420" s="240"/>
      <c r="AM420" s="240"/>
      <c r="AN420" s="240"/>
    </row>
    <row r="421" ht="15.75" customHeight="1">
      <c r="A421" s="145"/>
      <c r="B421" s="145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  <c r="AA421" s="240"/>
      <c r="AB421" s="240"/>
      <c r="AC421" s="240"/>
      <c r="AD421" s="240"/>
      <c r="AE421" s="240"/>
      <c r="AF421" s="240"/>
      <c r="AG421" s="240"/>
      <c r="AH421" s="240"/>
      <c r="AI421" s="240"/>
      <c r="AJ421" s="240"/>
      <c r="AK421" s="240"/>
      <c r="AL421" s="240"/>
      <c r="AM421" s="240"/>
      <c r="AN421" s="240"/>
    </row>
    <row r="422" ht="15.75" customHeight="1">
      <c r="A422" s="145"/>
      <c r="B422" s="145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  <c r="AA422" s="240"/>
      <c r="AB422" s="240"/>
      <c r="AC422" s="240"/>
      <c r="AD422" s="240"/>
      <c r="AE422" s="240"/>
      <c r="AF422" s="240"/>
      <c r="AG422" s="240"/>
      <c r="AH422" s="240"/>
      <c r="AI422" s="240"/>
      <c r="AJ422" s="240"/>
      <c r="AK422" s="240"/>
      <c r="AL422" s="240"/>
      <c r="AM422" s="240"/>
      <c r="AN422" s="240"/>
    </row>
    <row r="423" ht="15.75" customHeight="1">
      <c r="A423" s="145"/>
      <c r="B423" s="145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  <c r="AA423" s="240"/>
      <c r="AB423" s="240"/>
      <c r="AC423" s="240"/>
      <c r="AD423" s="240"/>
      <c r="AE423" s="240"/>
      <c r="AF423" s="240"/>
      <c r="AG423" s="240"/>
      <c r="AH423" s="240"/>
      <c r="AI423" s="240"/>
      <c r="AJ423" s="240"/>
      <c r="AK423" s="240"/>
      <c r="AL423" s="240"/>
      <c r="AM423" s="240"/>
      <c r="AN423" s="240"/>
    </row>
    <row r="424" ht="15.75" customHeight="1">
      <c r="A424" s="145"/>
      <c r="B424" s="145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  <c r="AA424" s="240"/>
      <c r="AB424" s="240"/>
      <c r="AC424" s="240"/>
      <c r="AD424" s="240"/>
      <c r="AE424" s="240"/>
      <c r="AF424" s="240"/>
      <c r="AG424" s="240"/>
      <c r="AH424" s="240"/>
      <c r="AI424" s="240"/>
      <c r="AJ424" s="240"/>
      <c r="AK424" s="240"/>
      <c r="AL424" s="240"/>
      <c r="AM424" s="240"/>
      <c r="AN424" s="240"/>
    </row>
    <row r="425" ht="15.75" customHeight="1">
      <c r="A425" s="145"/>
      <c r="B425" s="145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  <c r="AA425" s="240"/>
      <c r="AB425" s="240"/>
      <c r="AC425" s="240"/>
      <c r="AD425" s="240"/>
      <c r="AE425" s="240"/>
      <c r="AF425" s="240"/>
      <c r="AG425" s="240"/>
      <c r="AH425" s="240"/>
      <c r="AI425" s="240"/>
      <c r="AJ425" s="240"/>
      <c r="AK425" s="240"/>
      <c r="AL425" s="240"/>
      <c r="AM425" s="240"/>
      <c r="AN425" s="240"/>
    </row>
    <row r="426" ht="15.75" customHeight="1">
      <c r="A426" s="145"/>
      <c r="B426" s="145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  <c r="AA426" s="240"/>
      <c r="AB426" s="240"/>
      <c r="AC426" s="240"/>
      <c r="AD426" s="240"/>
      <c r="AE426" s="240"/>
      <c r="AF426" s="240"/>
      <c r="AG426" s="240"/>
      <c r="AH426" s="240"/>
      <c r="AI426" s="240"/>
      <c r="AJ426" s="240"/>
      <c r="AK426" s="240"/>
      <c r="AL426" s="240"/>
      <c r="AM426" s="240"/>
      <c r="AN426" s="240"/>
    </row>
    <row r="427" ht="15.75" customHeight="1">
      <c r="A427" s="145"/>
      <c r="B427" s="145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  <c r="AA427" s="240"/>
      <c r="AB427" s="240"/>
      <c r="AC427" s="240"/>
      <c r="AD427" s="240"/>
      <c r="AE427" s="240"/>
      <c r="AF427" s="240"/>
      <c r="AG427" s="240"/>
      <c r="AH427" s="240"/>
      <c r="AI427" s="240"/>
      <c r="AJ427" s="240"/>
      <c r="AK427" s="240"/>
      <c r="AL427" s="240"/>
      <c r="AM427" s="240"/>
      <c r="AN427" s="240"/>
    </row>
    <row r="428" ht="15.75" customHeight="1">
      <c r="A428" s="145"/>
      <c r="B428" s="145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  <c r="AA428" s="240"/>
      <c r="AB428" s="240"/>
      <c r="AC428" s="240"/>
      <c r="AD428" s="240"/>
      <c r="AE428" s="240"/>
      <c r="AF428" s="240"/>
      <c r="AG428" s="240"/>
      <c r="AH428" s="240"/>
      <c r="AI428" s="240"/>
      <c r="AJ428" s="240"/>
      <c r="AK428" s="240"/>
      <c r="AL428" s="240"/>
      <c r="AM428" s="240"/>
      <c r="AN428" s="240"/>
    </row>
    <row r="429" ht="15.75" customHeight="1">
      <c r="A429" s="145"/>
      <c r="B429" s="145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  <c r="AA429" s="240"/>
      <c r="AB429" s="240"/>
      <c r="AC429" s="240"/>
      <c r="AD429" s="240"/>
      <c r="AE429" s="240"/>
      <c r="AF429" s="240"/>
      <c r="AG429" s="240"/>
      <c r="AH429" s="240"/>
      <c r="AI429" s="240"/>
      <c r="AJ429" s="240"/>
      <c r="AK429" s="240"/>
      <c r="AL429" s="240"/>
      <c r="AM429" s="240"/>
      <c r="AN429" s="240"/>
    </row>
    <row r="430" ht="15.75" customHeight="1">
      <c r="A430" s="145"/>
      <c r="B430" s="145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  <c r="AA430" s="240"/>
      <c r="AB430" s="240"/>
      <c r="AC430" s="240"/>
      <c r="AD430" s="240"/>
      <c r="AE430" s="240"/>
      <c r="AF430" s="240"/>
      <c r="AG430" s="240"/>
      <c r="AH430" s="240"/>
      <c r="AI430" s="240"/>
      <c r="AJ430" s="240"/>
      <c r="AK430" s="240"/>
      <c r="AL430" s="240"/>
      <c r="AM430" s="240"/>
      <c r="AN430" s="240"/>
    </row>
    <row r="431" ht="15.75" customHeight="1">
      <c r="A431" s="145"/>
      <c r="B431" s="145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  <c r="AA431" s="240"/>
      <c r="AB431" s="240"/>
      <c r="AC431" s="240"/>
      <c r="AD431" s="240"/>
      <c r="AE431" s="240"/>
      <c r="AF431" s="240"/>
      <c r="AG431" s="240"/>
      <c r="AH431" s="240"/>
      <c r="AI431" s="240"/>
      <c r="AJ431" s="240"/>
      <c r="AK431" s="240"/>
      <c r="AL431" s="240"/>
      <c r="AM431" s="240"/>
      <c r="AN431" s="240"/>
    </row>
    <row r="432" ht="15.75" customHeight="1">
      <c r="A432" s="145"/>
      <c r="B432" s="145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  <c r="AA432" s="240"/>
      <c r="AB432" s="240"/>
      <c r="AC432" s="240"/>
      <c r="AD432" s="240"/>
      <c r="AE432" s="240"/>
      <c r="AF432" s="240"/>
      <c r="AG432" s="240"/>
      <c r="AH432" s="240"/>
      <c r="AI432" s="240"/>
      <c r="AJ432" s="240"/>
      <c r="AK432" s="240"/>
      <c r="AL432" s="240"/>
      <c r="AM432" s="240"/>
      <c r="AN432" s="240"/>
    </row>
    <row r="433" ht="15.75" customHeight="1">
      <c r="A433" s="145"/>
      <c r="B433" s="145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  <c r="AA433" s="240"/>
      <c r="AB433" s="240"/>
      <c r="AC433" s="240"/>
      <c r="AD433" s="240"/>
      <c r="AE433" s="240"/>
      <c r="AF433" s="240"/>
      <c r="AG433" s="240"/>
      <c r="AH433" s="240"/>
      <c r="AI433" s="240"/>
      <c r="AJ433" s="240"/>
      <c r="AK433" s="240"/>
      <c r="AL433" s="240"/>
      <c r="AM433" s="240"/>
      <c r="AN433" s="240"/>
    </row>
    <row r="434" ht="15.75" customHeight="1">
      <c r="A434" s="145"/>
      <c r="B434" s="145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</row>
    <row r="435" ht="15.75" customHeight="1">
      <c r="A435" s="145"/>
      <c r="B435" s="145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  <c r="AA435" s="240"/>
      <c r="AB435" s="240"/>
      <c r="AC435" s="240"/>
      <c r="AD435" s="240"/>
      <c r="AE435" s="240"/>
      <c r="AF435" s="240"/>
      <c r="AG435" s="240"/>
      <c r="AH435" s="240"/>
      <c r="AI435" s="240"/>
      <c r="AJ435" s="240"/>
      <c r="AK435" s="240"/>
      <c r="AL435" s="240"/>
      <c r="AM435" s="240"/>
      <c r="AN435" s="240"/>
    </row>
    <row r="436" ht="15.75" customHeight="1">
      <c r="A436" s="145"/>
      <c r="B436" s="145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  <c r="AA436" s="240"/>
      <c r="AB436" s="240"/>
      <c r="AC436" s="240"/>
      <c r="AD436" s="240"/>
      <c r="AE436" s="240"/>
      <c r="AF436" s="240"/>
      <c r="AG436" s="240"/>
      <c r="AH436" s="240"/>
      <c r="AI436" s="240"/>
      <c r="AJ436" s="240"/>
      <c r="AK436" s="240"/>
      <c r="AL436" s="240"/>
      <c r="AM436" s="240"/>
      <c r="AN436" s="240"/>
    </row>
    <row r="437" ht="15.75" customHeight="1">
      <c r="A437" s="145"/>
      <c r="B437" s="145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  <c r="AA437" s="240"/>
      <c r="AB437" s="240"/>
      <c r="AC437" s="240"/>
      <c r="AD437" s="240"/>
      <c r="AE437" s="240"/>
      <c r="AF437" s="240"/>
      <c r="AG437" s="240"/>
      <c r="AH437" s="240"/>
      <c r="AI437" s="240"/>
      <c r="AJ437" s="240"/>
      <c r="AK437" s="240"/>
      <c r="AL437" s="240"/>
      <c r="AM437" s="240"/>
      <c r="AN437" s="240"/>
    </row>
    <row r="438" ht="15.75" customHeight="1">
      <c r="A438" s="145"/>
      <c r="B438" s="145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  <c r="AA438" s="240"/>
      <c r="AB438" s="240"/>
      <c r="AC438" s="240"/>
      <c r="AD438" s="240"/>
      <c r="AE438" s="240"/>
      <c r="AF438" s="240"/>
      <c r="AG438" s="240"/>
      <c r="AH438" s="240"/>
      <c r="AI438" s="240"/>
      <c r="AJ438" s="240"/>
      <c r="AK438" s="240"/>
      <c r="AL438" s="240"/>
      <c r="AM438" s="240"/>
      <c r="AN438" s="240"/>
    </row>
    <row r="439" ht="15.75" customHeight="1">
      <c r="A439" s="145"/>
      <c r="B439" s="145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  <c r="AA439" s="240"/>
      <c r="AB439" s="240"/>
      <c r="AC439" s="240"/>
      <c r="AD439" s="240"/>
      <c r="AE439" s="240"/>
      <c r="AF439" s="240"/>
      <c r="AG439" s="240"/>
      <c r="AH439" s="240"/>
      <c r="AI439" s="240"/>
      <c r="AJ439" s="240"/>
      <c r="AK439" s="240"/>
      <c r="AL439" s="240"/>
      <c r="AM439" s="240"/>
      <c r="AN439" s="240"/>
    </row>
    <row r="440" ht="15.75" customHeight="1">
      <c r="A440" s="145"/>
      <c r="B440" s="145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  <c r="AA440" s="240"/>
      <c r="AB440" s="240"/>
      <c r="AC440" s="240"/>
      <c r="AD440" s="240"/>
      <c r="AE440" s="240"/>
      <c r="AF440" s="240"/>
      <c r="AG440" s="240"/>
      <c r="AH440" s="240"/>
      <c r="AI440" s="240"/>
      <c r="AJ440" s="240"/>
      <c r="AK440" s="240"/>
      <c r="AL440" s="240"/>
      <c r="AM440" s="240"/>
      <c r="AN440" s="240"/>
    </row>
    <row r="441" ht="15.75" customHeight="1">
      <c r="A441" s="145"/>
      <c r="B441" s="145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  <c r="AA441" s="240"/>
      <c r="AB441" s="240"/>
      <c r="AC441" s="240"/>
      <c r="AD441" s="240"/>
      <c r="AE441" s="240"/>
      <c r="AF441" s="240"/>
      <c r="AG441" s="240"/>
      <c r="AH441" s="240"/>
      <c r="AI441" s="240"/>
      <c r="AJ441" s="240"/>
      <c r="AK441" s="240"/>
      <c r="AL441" s="240"/>
      <c r="AM441" s="240"/>
      <c r="AN441" s="240"/>
    </row>
    <row r="442" ht="15.75" customHeight="1">
      <c r="A442" s="145"/>
      <c r="B442" s="145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  <c r="AA442" s="240"/>
      <c r="AB442" s="240"/>
      <c r="AC442" s="240"/>
      <c r="AD442" s="240"/>
      <c r="AE442" s="240"/>
      <c r="AF442" s="240"/>
      <c r="AG442" s="240"/>
      <c r="AH442" s="240"/>
      <c r="AI442" s="240"/>
      <c r="AJ442" s="240"/>
      <c r="AK442" s="240"/>
      <c r="AL442" s="240"/>
      <c r="AM442" s="240"/>
      <c r="AN442" s="240"/>
    </row>
    <row r="443" ht="15.75" customHeight="1">
      <c r="A443" s="145"/>
      <c r="B443" s="145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  <c r="AA443" s="240"/>
      <c r="AB443" s="240"/>
      <c r="AC443" s="240"/>
      <c r="AD443" s="240"/>
      <c r="AE443" s="240"/>
      <c r="AF443" s="240"/>
      <c r="AG443" s="240"/>
      <c r="AH443" s="240"/>
      <c r="AI443" s="240"/>
      <c r="AJ443" s="240"/>
      <c r="AK443" s="240"/>
      <c r="AL443" s="240"/>
      <c r="AM443" s="240"/>
      <c r="AN443" s="240"/>
    </row>
    <row r="444" ht="15.75" customHeight="1">
      <c r="A444" s="145"/>
      <c r="B444" s="145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  <c r="AA444" s="240"/>
      <c r="AB444" s="240"/>
      <c r="AC444" s="240"/>
      <c r="AD444" s="240"/>
      <c r="AE444" s="240"/>
      <c r="AF444" s="240"/>
      <c r="AG444" s="240"/>
      <c r="AH444" s="240"/>
      <c r="AI444" s="240"/>
      <c r="AJ444" s="240"/>
      <c r="AK444" s="240"/>
      <c r="AL444" s="240"/>
      <c r="AM444" s="240"/>
      <c r="AN444" s="240"/>
    </row>
    <row r="445" ht="15.75" customHeight="1">
      <c r="A445" s="145"/>
      <c r="B445" s="145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  <c r="AA445" s="240"/>
      <c r="AB445" s="240"/>
      <c r="AC445" s="240"/>
      <c r="AD445" s="240"/>
      <c r="AE445" s="240"/>
      <c r="AF445" s="240"/>
      <c r="AG445" s="240"/>
      <c r="AH445" s="240"/>
      <c r="AI445" s="240"/>
      <c r="AJ445" s="240"/>
      <c r="AK445" s="240"/>
      <c r="AL445" s="240"/>
      <c r="AM445" s="240"/>
      <c r="AN445" s="240"/>
    </row>
    <row r="446" ht="15.75" customHeight="1">
      <c r="A446" s="145"/>
      <c r="B446" s="145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  <c r="AA446" s="240"/>
      <c r="AB446" s="240"/>
      <c r="AC446" s="240"/>
      <c r="AD446" s="240"/>
      <c r="AE446" s="240"/>
      <c r="AF446" s="240"/>
      <c r="AG446" s="240"/>
      <c r="AH446" s="240"/>
      <c r="AI446" s="240"/>
      <c r="AJ446" s="240"/>
      <c r="AK446" s="240"/>
      <c r="AL446" s="240"/>
      <c r="AM446" s="240"/>
      <c r="AN446" s="240"/>
    </row>
    <row r="447" ht="15.75" customHeight="1">
      <c r="A447" s="145"/>
      <c r="B447" s="145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  <c r="AA447" s="240"/>
      <c r="AB447" s="240"/>
      <c r="AC447" s="240"/>
      <c r="AD447" s="240"/>
      <c r="AE447" s="240"/>
      <c r="AF447" s="240"/>
      <c r="AG447" s="240"/>
      <c r="AH447" s="240"/>
      <c r="AI447" s="240"/>
      <c r="AJ447" s="240"/>
      <c r="AK447" s="240"/>
      <c r="AL447" s="240"/>
      <c r="AM447" s="240"/>
      <c r="AN447" s="240"/>
    </row>
    <row r="448" ht="15.75" customHeight="1">
      <c r="A448" s="145"/>
      <c r="B448" s="145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  <c r="AA448" s="240"/>
      <c r="AB448" s="240"/>
      <c r="AC448" s="240"/>
      <c r="AD448" s="240"/>
      <c r="AE448" s="240"/>
      <c r="AF448" s="240"/>
      <c r="AG448" s="240"/>
      <c r="AH448" s="240"/>
      <c r="AI448" s="240"/>
      <c r="AJ448" s="240"/>
      <c r="AK448" s="240"/>
      <c r="AL448" s="240"/>
      <c r="AM448" s="240"/>
      <c r="AN448" s="240"/>
    </row>
    <row r="449" ht="15.75" customHeight="1">
      <c r="A449" s="145"/>
      <c r="B449" s="145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  <c r="AA449" s="240"/>
      <c r="AB449" s="240"/>
      <c r="AC449" s="240"/>
      <c r="AD449" s="240"/>
      <c r="AE449" s="240"/>
      <c r="AF449" s="240"/>
      <c r="AG449" s="240"/>
      <c r="AH449" s="240"/>
      <c r="AI449" s="240"/>
      <c r="AJ449" s="240"/>
      <c r="AK449" s="240"/>
      <c r="AL449" s="240"/>
      <c r="AM449" s="240"/>
      <c r="AN449" s="240"/>
    </row>
    <row r="450" ht="15.75" customHeight="1">
      <c r="A450" s="145"/>
      <c r="B450" s="145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  <c r="AA450" s="240"/>
      <c r="AB450" s="240"/>
      <c r="AC450" s="240"/>
      <c r="AD450" s="240"/>
      <c r="AE450" s="240"/>
      <c r="AF450" s="240"/>
      <c r="AG450" s="240"/>
      <c r="AH450" s="240"/>
      <c r="AI450" s="240"/>
      <c r="AJ450" s="240"/>
      <c r="AK450" s="240"/>
      <c r="AL450" s="240"/>
      <c r="AM450" s="240"/>
      <c r="AN450" s="240"/>
    </row>
    <row r="451" ht="15.75" customHeight="1">
      <c r="A451" s="145"/>
      <c r="B451" s="145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  <c r="AA451" s="240"/>
      <c r="AB451" s="240"/>
      <c r="AC451" s="240"/>
      <c r="AD451" s="240"/>
      <c r="AE451" s="240"/>
      <c r="AF451" s="240"/>
      <c r="AG451" s="240"/>
      <c r="AH451" s="240"/>
      <c r="AI451" s="240"/>
      <c r="AJ451" s="240"/>
      <c r="AK451" s="240"/>
      <c r="AL451" s="240"/>
      <c r="AM451" s="240"/>
      <c r="AN451" s="240"/>
    </row>
    <row r="452" ht="15.75" customHeight="1">
      <c r="A452" s="145"/>
      <c r="B452" s="145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  <c r="AA452" s="240"/>
      <c r="AB452" s="240"/>
      <c r="AC452" s="240"/>
      <c r="AD452" s="240"/>
      <c r="AE452" s="240"/>
      <c r="AF452" s="240"/>
      <c r="AG452" s="240"/>
      <c r="AH452" s="240"/>
      <c r="AI452" s="240"/>
      <c r="AJ452" s="240"/>
      <c r="AK452" s="240"/>
      <c r="AL452" s="240"/>
      <c r="AM452" s="240"/>
      <c r="AN452" s="240"/>
    </row>
    <row r="453" ht="15.75" customHeight="1">
      <c r="A453" s="145"/>
      <c r="B453" s="145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  <c r="AA453" s="240"/>
      <c r="AB453" s="240"/>
      <c r="AC453" s="240"/>
      <c r="AD453" s="240"/>
      <c r="AE453" s="240"/>
      <c r="AF453" s="240"/>
      <c r="AG453" s="240"/>
      <c r="AH453" s="240"/>
      <c r="AI453" s="240"/>
      <c r="AJ453" s="240"/>
      <c r="AK453" s="240"/>
      <c r="AL453" s="240"/>
      <c r="AM453" s="240"/>
      <c r="AN453" s="240"/>
    </row>
    <row r="454" ht="15.75" customHeight="1">
      <c r="A454" s="145"/>
      <c r="B454" s="145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  <c r="AA454" s="240"/>
      <c r="AB454" s="240"/>
      <c r="AC454" s="240"/>
      <c r="AD454" s="240"/>
      <c r="AE454" s="240"/>
      <c r="AF454" s="240"/>
      <c r="AG454" s="240"/>
      <c r="AH454" s="240"/>
      <c r="AI454" s="240"/>
      <c r="AJ454" s="240"/>
      <c r="AK454" s="240"/>
      <c r="AL454" s="240"/>
      <c r="AM454" s="240"/>
      <c r="AN454" s="240"/>
    </row>
    <row r="455" ht="15.75" customHeight="1">
      <c r="A455" s="145"/>
      <c r="B455" s="145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  <c r="AA455" s="240"/>
      <c r="AB455" s="240"/>
      <c r="AC455" s="240"/>
      <c r="AD455" s="240"/>
      <c r="AE455" s="240"/>
      <c r="AF455" s="240"/>
      <c r="AG455" s="240"/>
      <c r="AH455" s="240"/>
      <c r="AI455" s="240"/>
      <c r="AJ455" s="240"/>
      <c r="AK455" s="240"/>
      <c r="AL455" s="240"/>
      <c r="AM455" s="240"/>
      <c r="AN455" s="240"/>
    </row>
    <row r="456" ht="15.75" customHeight="1">
      <c r="A456" s="145"/>
      <c r="B456" s="145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  <c r="AA456" s="240"/>
      <c r="AB456" s="240"/>
      <c r="AC456" s="240"/>
      <c r="AD456" s="240"/>
      <c r="AE456" s="240"/>
      <c r="AF456" s="240"/>
      <c r="AG456" s="240"/>
      <c r="AH456" s="240"/>
      <c r="AI456" s="240"/>
      <c r="AJ456" s="240"/>
      <c r="AK456" s="240"/>
      <c r="AL456" s="240"/>
      <c r="AM456" s="240"/>
      <c r="AN456" s="240"/>
    </row>
    <row r="457" ht="15.75" customHeight="1">
      <c r="A457" s="145"/>
      <c r="B457" s="145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  <c r="AA457" s="240"/>
      <c r="AB457" s="240"/>
      <c r="AC457" s="240"/>
      <c r="AD457" s="240"/>
      <c r="AE457" s="240"/>
      <c r="AF457" s="240"/>
      <c r="AG457" s="240"/>
      <c r="AH457" s="240"/>
      <c r="AI457" s="240"/>
      <c r="AJ457" s="240"/>
      <c r="AK457" s="240"/>
      <c r="AL457" s="240"/>
      <c r="AM457" s="240"/>
      <c r="AN457" s="240"/>
    </row>
    <row r="458" ht="15.75" customHeight="1">
      <c r="A458" s="145"/>
      <c r="B458" s="145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  <c r="AA458" s="240"/>
      <c r="AB458" s="240"/>
      <c r="AC458" s="240"/>
      <c r="AD458" s="240"/>
      <c r="AE458" s="240"/>
      <c r="AF458" s="240"/>
      <c r="AG458" s="240"/>
      <c r="AH458" s="240"/>
      <c r="AI458" s="240"/>
      <c r="AJ458" s="240"/>
      <c r="AK458" s="240"/>
      <c r="AL458" s="240"/>
      <c r="AM458" s="240"/>
      <c r="AN458" s="240"/>
    </row>
    <row r="459" ht="15.75" customHeight="1">
      <c r="A459" s="145"/>
      <c r="B459" s="145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  <c r="AA459" s="240"/>
      <c r="AB459" s="240"/>
      <c r="AC459" s="240"/>
      <c r="AD459" s="240"/>
      <c r="AE459" s="240"/>
      <c r="AF459" s="240"/>
      <c r="AG459" s="240"/>
      <c r="AH459" s="240"/>
      <c r="AI459" s="240"/>
      <c r="AJ459" s="240"/>
      <c r="AK459" s="240"/>
      <c r="AL459" s="240"/>
      <c r="AM459" s="240"/>
      <c r="AN459" s="240"/>
    </row>
    <row r="460" ht="15.75" customHeight="1">
      <c r="A460" s="145"/>
      <c r="B460" s="145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  <c r="AA460" s="240"/>
      <c r="AB460" s="240"/>
      <c r="AC460" s="240"/>
      <c r="AD460" s="240"/>
      <c r="AE460" s="240"/>
      <c r="AF460" s="240"/>
      <c r="AG460" s="240"/>
      <c r="AH460" s="240"/>
      <c r="AI460" s="240"/>
      <c r="AJ460" s="240"/>
      <c r="AK460" s="240"/>
      <c r="AL460" s="240"/>
      <c r="AM460" s="240"/>
      <c r="AN460" s="240"/>
    </row>
    <row r="461" ht="15.75" customHeight="1">
      <c r="A461" s="145"/>
      <c r="B461" s="145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  <c r="AA461" s="240"/>
      <c r="AB461" s="240"/>
      <c r="AC461" s="240"/>
      <c r="AD461" s="240"/>
      <c r="AE461" s="240"/>
      <c r="AF461" s="240"/>
      <c r="AG461" s="240"/>
      <c r="AH461" s="240"/>
      <c r="AI461" s="240"/>
      <c r="AJ461" s="240"/>
      <c r="AK461" s="240"/>
      <c r="AL461" s="240"/>
      <c r="AM461" s="240"/>
      <c r="AN461" s="240"/>
    </row>
    <row r="462" ht="15.75" customHeight="1">
      <c r="A462" s="145"/>
      <c r="B462" s="145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  <c r="AA462" s="240"/>
      <c r="AB462" s="240"/>
      <c r="AC462" s="240"/>
      <c r="AD462" s="240"/>
      <c r="AE462" s="240"/>
      <c r="AF462" s="240"/>
      <c r="AG462" s="240"/>
      <c r="AH462" s="240"/>
      <c r="AI462" s="240"/>
      <c r="AJ462" s="240"/>
      <c r="AK462" s="240"/>
      <c r="AL462" s="240"/>
      <c r="AM462" s="240"/>
      <c r="AN462" s="240"/>
    </row>
    <row r="463" ht="15.75" customHeight="1">
      <c r="A463" s="145"/>
      <c r="B463" s="145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  <c r="AA463" s="240"/>
      <c r="AB463" s="240"/>
      <c r="AC463" s="240"/>
      <c r="AD463" s="240"/>
      <c r="AE463" s="240"/>
      <c r="AF463" s="240"/>
      <c r="AG463" s="240"/>
      <c r="AH463" s="240"/>
      <c r="AI463" s="240"/>
      <c r="AJ463" s="240"/>
      <c r="AK463" s="240"/>
      <c r="AL463" s="240"/>
      <c r="AM463" s="240"/>
      <c r="AN463" s="240"/>
    </row>
    <row r="464" ht="15.75" customHeight="1">
      <c r="A464" s="145"/>
      <c r="B464" s="145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  <c r="AA464" s="240"/>
      <c r="AB464" s="240"/>
      <c r="AC464" s="240"/>
      <c r="AD464" s="240"/>
      <c r="AE464" s="240"/>
      <c r="AF464" s="240"/>
      <c r="AG464" s="240"/>
      <c r="AH464" s="240"/>
      <c r="AI464" s="240"/>
      <c r="AJ464" s="240"/>
      <c r="AK464" s="240"/>
      <c r="AL464" s="240"/>
      <c r="AM464" s="240"/>
      <c r="AN464" s="240"/>
    </row>
    <row r="465" ht="15.75" customHeight="1">
      <c r="A465" s="145"/>
      <c r="B465" s="145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  <c r="AA465" s="240"/>
      <c r="AB465" s="240"/>
      <c r="AC465" s="240"/>
      <c r="AD465" s="240"/>
      <c r="AE465" s="240"/>
      <c r="AF465" s="240"/>
      <c r="AG465" s="240"/>
      <c r="AH465" s="240"/>
      <c r="AI465" s="240"/>
      <c r="AJ465" s="240"/>
      <c r="AK465" s="240"/>
      <c r="AL465" s="240"/>
      <c r="AM465" s="240"/>
      <c r="AN465" s="240"/>
    </row>
    <row r="466" ht="15.75" customHeight="1">
      <c r="A466" s="145"/>
      <c r="B466" s="145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  <c r="AA466" s="240"/>
      <c r="AB466" s="240"/>
      <c r="AC466" s="240"/>
      <c r="AD466" s="240"/>
      <c r="AE466" s="240"/>
      <c r="AF466" s="240"/>
      <c r="AG466" s="240"/>
      <c r="AH466" s="240"/>
      <c r="AI466" s="240"/>
      <c r="AJ466" s="240"/>
      <c r="AK466" s="240"/>
      <c r="AL466" s="240"/>
      <c r="AM466" s="240"/>
      <c r="AN466" s="240"/>
    </row>
    <row r="467" ht="15.75" customHeight="1">
      <c r="A467" s="145"/>
      <c r="B467" s="145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  <c r="AA467" s="240"/>
      <c r="AB467" s="240"/>
      <c r="AC467" s="240"/>
      <c r="AD467" s="240"/>
      <c r="AE467" s="240"/>
      <c r="AF467" s="240"/>
      <c r="AG467" s="240"/>
      <c r="AH467" s="240"/>
      <c r="AI467" s="240"/>
      <c r="AJ467" s="240"/>
      <c r="AK467" s="240"/>
      <c r="AL467" s="240"/>
      <c r="AM467" s="240"/>
      <c r="AN467" s="240"/>
    </row>
    <row r="468" ht="15.75" customHeight="1">
      <c r="A468" s="145"/>
      <c r="B468" s="145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  <c r="AA468" s="240"/>
      <c r="AB468" s="240"/>
      <c r="AC468" s="240"/>
      <c r="AD468" s="240"/>
      <c r="AE468" s="240"/>
      <c r="AF468" s="240"/>
      <c r="AG468" s="240"/>
      <c r="AH468" s="240"/>
      <c r="AI468" s="240"/>
      <c r="AJ468" s="240"/>
      <c r="AK468" s="240"/>
      <c r="AL468" s="240"/>
      <c r="AM468" s="240"/>
      <c r="AN468" s="240"/>
    </row>
    <row r="469" ht="15.75" customHeight="1">
      <c r="A469" s="145"/>
      <c r="B469" s="145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  <c r="AA469" s="240"/>
      <c r="AB469" s="240"/>
      <c r="AC469" s="240"/>
      <c r="AD469" s="240"/>
      <c r="AE469" s="240"/>
      <c r="AF469" s="240"/>
      <c r="AG469" s="240"/>
      <c r="AH469" s="240"/>
      <c r="AI469" s="240"/>
      <c r="AJ469" s="240"/>
      <c r="AK469" s="240"/>
      <c r="AL469" s="240"/>
      <c r="AM469" s="240"/>
      <c r="AN469" s="240"/>
    </row>
    <row r="470" ht="15.75" customHeight="1">
      <c r="A470" s="145"/>
      <c r="B470" s="145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  <c r="AA470" s="240"/>
      <c r="AB470" s="240"/>
      <c r="AC470" s="240"/>
      <c r="AD470" s="240"/>
      <c r="AE470" s="240"/>
      <c r="AF470" s="240"/>
      <c r="AG470" s="240"/>
      <c r="AH470" s="240"/>
      <c r="AI470" s="240"/>
      <c r="AJ470" s="240"/>
      <c r="AK470" s="240"/>
      <c r="AL470" s="240"/>
      <c r="AM470" s="240"/>
      <c r="AN470" s="240"/>
    </row>
    <row r="471" ht="15.75" customHeight="1">
      <c r="A471" s="145"/>
      <c r="B471" s="145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  <c r="AA471" s="240"/>
      <c r="AB471" s="240"/>
      <c r="AC471" s="240"/>
      <c r="AD471" s="240"/>
      <c r="AE471" s="240"/>
      <c r="AF471" s="240"/>
      <c r="AG471" s="240"/>
      <c r="AH471" s="240"/>
      <c r="AI471" s="240"/>
      <c r="AJ471" s="240"/>
      <c r="AK471" s="240"/>
      <c r="AL471" s="240"/>
      <c r="AM471" s="240"/>
      <c r="AN471" s="240"/>
    </row>
    <row r="472" ht="15.75" customHeight="1">
      <c r="A472" s="145"/>
      <c r="B472" s="145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  <c r="AA472" s="240"/>
      <c r="AB472" s="240"/>
      <c r="AC472" s="240"/>
      <c r="AD472" s="240"/>
      <c r="AE472" s="240"/>
      <c r="AF472" s="240"/>
      <c r="AG472" s="240"/>
      <c r="AH472" s="240"/>
      <c r="AI472" s="240"/>
      <c r="AJ472" s="240"/>
      <c r="AK472" s="240"/>
      <c r="AL472" s="240"/>
      <c r="AM472" s="240"/>
      <c r="AN472" s="240"/>
    </row>
    <row r="473" ht="15.75" customHeight="1">
      <c r="A473" s="145"/>
      <c r="B473" s="145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  <c r="AA473" s="240"/>
      <c r="AB473" s="240"/>
      <c r="AC473" s="240"/>
      <c r="AD473" s="240"/>
      <c r="AE473" s="240"/>
      <c r="AF473" s="240"/>
      <c r="AG473" s="240"/>
      <c r="AH473" s="240"/>
      <c r="AI473" s="240"/>
      <c r="AJ473" s="240"/>
      <c r="AK473" s="240"/>
      <c r="AL473" s="240"/>
      <c r="AM473" s="240"/>
      <c r="AN473" s="240"/>
    </row>
    <row r="474" ht="15.75" customHeight="1">
      <c r="A474" s="145"/>
      <c r="B474" s="145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  <c r="AA474" s="240"/>
      <c r="AB474" s="240"/>
      <c r="AC474" s="240"/>
      <c r="AD474" s="240"/>
      <c r="AE474" s="240"/>
      <c r="AF474" s="240"/>
      <c r="AG474" s="240"/>
      <c r="AH474" s="240"/>
      <c r="AI474" s="240"/>
      <c r="AJ474" s="240"/>
      <c r="AK474" s="240"/>
      <c r="AL474" s="240"/>
      <c r="AM474" s="240"/>
      <c r="AN474" s="240"/>
    </row>
    <row r="475" ht="15.75" customHeight="1">
      <c r="A475" s="145"/>
      <c r="B475" s="145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  <c r="AA475" s="240"/>
      <c r="AB475" s="240"/>
      <c r="AC475" s="240"/>
      <c r="AD475" s="240"/>
      <c r="AE475" s="240"/>
      <c r="AF475" s="240"/>
      <c r="AG475" s="240"/>
      <c r="AH475" s="240"/>
      <c r="AI475" s="240"/>
      <c r="AJ475" s="240"/>
      <c r="AK475" s="240"/>
      <c r="AL475" s="240"/>
      <c r="AM475" s="240"/>
      <c r="AN475" s="240"/>
    </row>
    <row r="476" ht="15.75" customHeight="1">
      <c r="A476" s="145"/>
      <c r="B476" s="145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  <c r="AA476" s="240"/>
      <c r="AB476" s="240"/>
      <c r="AC476" s="240"/>
      <c r="AD476" s="240"/>
      <c r="AE476" s="240"/>
      <c r="AF476" s="240"/>
      <c r="AG476" s="240"/>
      <c r="AH476" s="240"/>
      <c r="AI476" s="240"/>
      <c r="AJ476" s="240"/>
      <c r="AK476" s="240"/>
      <c r="AL476" s="240"/>
      <c r="AM476" s="240"/>
      <c r="AN476" s="240"/>
    </row>
    <row r="477" ht="15.75" customHeight="1">
      <c r="A477" s="145"/>
      <c r="B477" s="145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  <c r="AA477" s="240"/>
      <c r="AB477" s="240"/>
      <c r="AC477" s="240"/>
      <c r="AD477" s="240"/>
      <c r="AE477" s="240"/>
      <c r="AF477" s="240"/>
      <c r="AG477" s="240"/>
      <c r="AH477" s="240"/>
      <c r="AI477" s="240"/>
      <c r="AJ477" s="240"/>
      <c r="AK477" s="240"/>
      <c r="AL477" s="240"/>
      <c r="AM477" s="240"/>
      <c r="AN477" s="240"/>
    </row>
    <row r="478" ht="15.75" customHeight="1">
      <c r="A478" s="145"/>
      <c r="B478" s="145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  <c r="AA478" s="240"/>
      <c r="AB478" s="240"/>
      <c r="AC478" s="240"/>
      <c r="AD478" s="240"/>
      <c r="AE478" s="240"/>
      <c r="AF478" s="240"/>
      <c r="AG478" s="240"/>
      <c r="AH478" s="240"/>
      <c r="AI478" s="240"/>
      <c r="AJ478" s="240"/>
      <c r="AK478" s="240"/>
      <c r="AL478" s="240"/>
      <c r="AM478" s="240"/>
      <c r="AN478" s="240"/>
    </row>
    <row r="479" ht="15.75" customHeight="1">
      <c r="A479" s="145"/>
      <c r="B479" s="145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  <c r="AA479" s="240"/>
      <c r="AB479" s="240"/>
      <c r="AC479" s="240"/>
      <c r="AD479" s="240"/>
      <c r="AE479" s="240"/>
      <c r="AF479" s="240"/>
      <c r="AG479" s="240"/>
      <c r="AH479" s="240"/>
      <c r="AI479" s="240"/>
      <c r="AJ479" s="240"/>
      <c r="AK479" s="240"/>
      <c r="AL479" s="240"/>
      <c r="AM479" s="240"/>
      <c r="AN479" s="240"/>
    </row>
    <row r="480" ht="15.75" customHeight="1">
      <c r="A480" s="145"/>
      <c r="B480" s="145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  <c r="AA480" s="240"/>
      <c r="AB480" s="240"/>
      <c r="AC480" s="240"/>
      <c r="AD480" s="240"/>
      <c r="AE480" s="240"/>
      <c r="AF480" s="240"/>
      <c r="AG480" s="240"/>
      <c r="AH480" s="240"/>
      <c r="AI480" s="240"/>
      <c r="AJ480" s="240"/>
      <c r="AK480" s="240"/>
      <c r="AL480" s="240"/>
      <c r="AM480" s="240"/>
      <c r="AN480" s="240"/>
    </row>
    <row r="481" ht="15.75" customHeight="1">
      <c r="A481" s="145"/>
      <c r="B481" s="145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  <c r="AA481" s="240"/>
      <c r="AB481" s="240"/>
      <c r="AC481" s="240"/>
      <c r="AD481" s="240"/>
      <c r="AE481" s="240"/>
      <c r="AF481" s="240"/>
      <c r="AG481" s="240"/>
      <c r="AH481" s="240"/>
      <c r="AI481" s="240"/>
      <c r="AJ481" s="240"/>
      <c r="AK481" s="240"/>
      <c r="AL481" s="240"/>
      <c r="AM481" s="240"/>
      <c r="AN481" s="240"/>
    </row>
    <row r="482" ht="15.75" customHeight="1">
      <c r="A482" s="145"/>
      <c r="B482" s="145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  <c r="AA482" s="240"/>
      <c r="AB482" s="240"/>
      <c r="AC482" s="240"/>
      <c r="AD482" s="240"/>
      <c r="AE482" s="240"/>
      <c r="AF482" s="240"/>
      <c r="AG482" s="240"/>
      <c r="AH482" s="240"/>
      <c r="AI482" s="240"/>
      <c r="AJ482" s="240"/>
      <c r="AK482" s="240"/>
      <c r="AL482" s="240"/>
      <c r="AM482" s="240"/>
      <c r="AN482" s="240"/>
    </row>
    <row r="483" ht="15.75" customHeight="1">
      <c r="A483" s="145"/>
      <c r="B483" s="145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  <c r="AA483" s="240"/>
      <c r="AB483" s="240"/>
      <c r="AC483" s="240"/>
      <c r="AD483" s="240"/>
      <c r="AE483" s="240"/>
      <c r="AF483" s="240"/>
      <c r="AG483" s="240"/>
      <c r="AH483" s="240"/>
      <c r="AI483" s="240"/>
      <c r="AJ483" s="240"/>
      <c r="AK483" s="240"/>
      <c r="AL483" s="240"/>
      <c r="AM483" s="240"/>
      <c r="AN483" s="240"/>
    </row>
    <row r="484" ht="15.75" customHeight="1">
      <c r="A484" s="145"/>
      <c r="B484" s="145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  <c r="AA484" s="240"/>
      <c r="AB484" s="240"/>
      <c r="AC484" s="240"/>
      <c r="AD484" s="240"/>
      <c r="AE484" s="240"/>
      <c r="AF484" s="240"/>
      <c r="AG484" s="240"/>
      <c r="AH484" s="240"/>
      <c r="AI484" s="240"/>
      <c r="AJ484" s="240"/>
      <c r="AK484" s="240"/>
      <c r="AL484" s="240"/>
      <c r="AM484" s="240"/>
      <c r="AN484" s="240"/>
    </row>
    <row r="485" ht="15.75" customHeight="1">
      <c r="A485" s="145"/>
      <c r="B485" s="145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  <c r="AA485" s="240"/>
      <c r="AB485" s="240"/>
      <c r="AC485" s="240"/>
      <c r="AD485" s="240"/>
      <c r="AE485" s="240"/>
      <c r="AF485" s="240"/>
      <c r="AG485" s="240"/>
      <c r="AH485" s="240"/>
      <c r="AI485" s="240"/>
      <c r="AJ485" s="240"/>
      <c r="AK485" s="240"/>
      <c r="AL485" s="240"/>
      <c r="AM485" s="240"/>
      <c r="AN485" s="240"/>
    </row>
    <row r="486" ht="15.75" customHeight="1">
      <c r="A486" s="145"/>
      <c r="B486" s="145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  <c r="AA486" s="240"/>
      <c r="AB486" s="240"/>
      <c r="AC486" s="240"/>
      <c r="AD486" s="240"/>
      <c r="AE486" s="240"/>
      <c r="AF486" s="240"/>
      <c r="AG486" s="240"/>
      <c r="AH486" s="240"/>
      <c r="AI486" s="240"/>
      <c r="AJ486" s="240"/>
      <c r="AK486" s="240"/>
      <c r="AL486" s="240"/>
      <c r="AM486" s="240"/>
      <c r="AN486" s="240"/>
    </row>
    <row r="487" ht="15.75" customHeight="1">
      <c r="A487" s="145"/>
      <c r="B487" s="145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  <c r="AA487" s="240"/>
      <c r="AB487" s="240"/>
      <c r="AC487" s="240"/>
      <c r="AD487" s="240"/>
      <c r="AE487" s="240"/>
      <c r="AF487" s="240"/>
      <c r="AG487" s="240"/>
      <c r="AH487" s="240"/>
      <c r="AI487" s="240"/>
      <c r="AJ487" s="240"/>
      <c r="AK487" s="240"/>
      <c r="AL487" s="240"/>
      <c r="AM487" s="240"/>
      <c r="AN487" s="240"/>
    </row>
    <row r="488" ht="15.75" customHeight="1">
      <c r="A488" s="145"/>
      <c r="B488" s="145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  <c r="AA488" s="240"/>
      <c r="AB488" s="240"/>
      <c r="AC488" s="240"/>
      <c r="AD488" s="240"/>
      <c r="AE488" s="240"/>
      <c r="AF488" s="240"/>
      <c r="AG488" s="240"/>
      <c r="AH488" s="240"/>
      <c r="AI488" s="240"/>
      <c r="AJ488" s="240"/>
      <c r="AK488" s="240"/>
      <c r="AL488" s="240"/>
      <c r="AM488" s="240"/>
      <c r="AN488" s="240"/>
    </row>
    <row r="489" ht="15.75" customHeight="1">
      <c r="A489" s="145"/>
      <c r="B489" s="145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  <c r="AA489" s="240"/>
      <c r="AB489" s="240"/>
      <c r="AC489" s="240"/>
      <c r="AD489" s="240"/>
      <c r="AE489" s="240"/>
      <c r="AF489" s="240"/>
      <c r="AG489" s="240"/>
      <c r="AH489" s="240"/>
      <c r="AI489" s="240"/>
      <c r="AJ489" s="240"/>
      <c r="AK489" s="240"/>
      <c r="AL489" s="240"/>
      <c r="AM489" s="240"/>
      <c r="AN489" s="240"/>
    </row>
    <row r="490" ht="15.75" customHeight="1">
      <c r="A490" s="145"/>
      <c r="B490" s="145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  <c r="AA490" s="240"/>
      <c r="AB490" s="240"/>
      <c r="AC490" s="240"/>
      <c r="AD490" s="240"/>
      <c r="AE490" s="240"/>
      <c r="AF490" s="240"/>
      <c r="AG490" s="240"/>
      <c r="AH490" s="240"/>
      <c r="AI490" s="240"/>
      <c r="AJ490" s="240"/>
      <c r="AK490" s="240"/>
      <c r="AL490" s="240"/>
      <c r="AM490" s="240"/>
      <c r="AN490" s="240"/>
    </row>
    <row r="491" ht="15.75" customHeight="1">
      <c r="A491" s="145"/>
      <c r="B491" s="145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  <c r="AA491" s="240"/>
      <c r="AB491" s="240"/>
      <c r="AC491" s="240"/>
      <c r="AD491" s="240"/>
      <c r="AE491" s="240"/>
      <c r="AF491" s="240"/>
      <c r="AG491" s="240"/>
      <c r="AH491" s="240"/>
      <c r="AI491" s="240"/>
      <c r="AJ491" s="240"/>
      <c r="AK491" s="240"/>
      <c r="AL491" s="240"/>
      <c r="AM491" s="240"/>
      <c r="AN491" s="240"/>
    </row>
    <row r="492" ht="15.75" customHeight="1">
      <c r="A492" s="145"/>
      <c r="B492" s="145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  <c r="AA492" s="240"/>
      <c r="AB492" s="240"/>
      <c r="AC492" s="240"/>
      <c r="AD492" s="240"/>
      <c r="AE492" s="240"/>
      <c r="AF492" s="240"/>
      <c r="AG492" s="240"/>
      <c r="AH492" s="240"/>
      <c r="AI492" s="240"/>
      <c r="AJ492" s="240"/>
      <c r="AK492" s="240"/>
      <c r="AL492" s="240"/>
      <c r="AM492" s="240"/>
      <c r="AN492" s="240"/>
    </row>
    <row r="493" ht="15.75" customHeight="1">
      <c r="A493" s="145"/>
      <c r="B493" s="145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  <c r="AA493" s="240"/>
      <c r="AB493" s="240"/>
      <c r="AC493" s="240"/>
      <c r="AD493" s="240"/>
      <c r="AE493" s="240"/>
      <c r="AF493" s="240"/>
      <c r="AG493" s="240"/>
      <c r="AH493" s="240"/>
      <c r="AI493" s="240"/>
      <c r="AJ493" s="240"/>
      <c r="AK493" s="240"/>
      <c r="AL493" s="240"/>
      <c r="AM493" s="240"/>
      <c r="AN493" s="240"/>
    </row>
    <row r="494" ht="15.75" customHeight="1">
      <c r="A494" s="145"/>
      <c r="B494" s="145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  <c r="AA494" s="240"/>
      <c r="AB494" s="240"/>
      <c r="AC494" s="240"/>
      <c r="AD494" s="240"/>
      <c r="AE494" s="240"/>
      <c r="AF494" s="240"/>
      <c r="AG494" s="240"/>
      <c r="AH494" s="240"/>
      <c r="AI494" s="240"/>
      <c r="AJ494" s="240"/>
      <c r="AK494" s="240"/>
      <c r="AL494" s="240"/>
      <c r="AM494" s="240"/>
      <c r="AN494" s="240"/>
    </row>
    <row r="495" ht="15.75" customHeight="1">
      <c r="A495" s="145"/>
      <c r="B495" s="145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  <c r="AA495" s="240"/>
      <c r="AB495" s="240"/>
      <c r="AC495" s="240"/>
      <c r="AD495" s="240"/>
      <c r="AE495" s="240"/>
      <c r="AF495" s="240"/>
      <c r="AG495" s="240"/>
      <c r="AH495" s="240"/>
      <c r="AI495" s="240"/>
      <c r="AJ495" s="240"/>
      <c r="AK495" s="240"/>
      <c r="AL495" s="240"/>
      <c r="AM495" s="240"/>
      <c r="AN495" s="240"/>
    </row>
    <row r="496" ht="15.75" customHeight="1">
      <c r="A496" s="145"/>
      <c r="B496" s="145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  <c r="AA496" s="240"/>
      <c r="AB496" s="240"/>
      <c r="AC496" s="240"/>
      <c r="AD496" s="240"/>
      <c r="AE496" s="240"/>
      <c r="AF496" s="240"/>
      <c r="AG496" s="240"/>
      <c r="AH496" s="240"/>
      <c r="AI496" s="240"/>
      <c r="AJ496" s="240"/>
      <c r="AK496" s="240"/>
      <c r="AL496" s="240"/>
      <c r="AM496" s="240"/>
      <c r="AN496" s="240"/>
    </row>
    <row r="497" ht="15.75" customHeight="1">
      <c r="A497" s="145"/>
      <c r="B497" s="145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  <c r="AA497" s="240"/>
      <c r="AB497" s="240"/>
      <c r="AC497" s="240"/>
      <c r="AD497" s="240"/>
      <c r="AE497" s="240"/>
      <c r="AF497" s="240"/>
      <c r="AG497" s="240"/>
      <c r="AH497" s="240"/>
      <c r="AI497" s="240"/>
      <c r="AJ497" s="240"/>
      <c r="AK497" s="240"/>
      <c r="AL497" s="240"/>
      <c r="AM497" s="240"/>
      <c r="AN497" s="240"/>
    </row>
    <row r="498" ht="15.75" customHeight="1">
      <c r="A498" s="145"/>
      <c r="B498" s="145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  <c r="AA498" s="240"/>
      <c r="AB498" s="240"/>
      <c r="AC498" s="240"/>
      <c r="AD498" s="240"/>
      <c r="AE498" s="240"/>
      <c r="AF498" s="240"/>
      <c r="AG498" s="240"/>
      <c r="AH498" s="240"/>
      <c r="AI498" s="240"/>
      <c r="AJ498" s="240"/>
      <c r="AK498" s="240"/>
      <c r="AL498" s="240"/>
      <c r="AM498" s="240"/>
      <c r="AN498" s="240"/>
    </row>
    <row r="499" ht="15.75" customHeight="1">
      <c r="A499" s="145"/>
      <c r="B499" s="145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  <c r="AA499" s="240"/>
      <c r="AB499" s="240"/>
      <c r="AC499" s="240"/>
      <c r="AD499" s="240"/>
      <c r="AE499" s="240"/>
      <c r="AF499" s="240"/>
      <c r="AG499" s="240"/>
      <c r="AH499" s="240"/>
      <c r="AI499" s="240"/>
      <c r="AJ499" s="240"/>
      <c r="AK499" s="240"/>
      <c r="AL499" s="240"/>
      <c r="AM499" s="240"/>
      <c r="AN499" s="240"/>
    </row>
    <row r="500" ht="15.75" customHeight="1">
      <c r="A500" s="145"/>
      <c r="B500" s="145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  <c r="AA500" s="240"/>
      <c r="AB500" s="240"/>
      <c r="AC500" s="240"/>
      <c r="AD500" s="240"/>
      <c r="AE500" s="240"/>
      <c r="AF500" s="240"/>
      <c r="AG500" s="240"/>
      <c r="AH500" s="240"/>
      <c r="AI500" s="240"/>
      <c r="AJ500" s="240"/>
      <c r="AK500" s="240"/>
      <c r="AL500" s="240"/>
      <c r="AM500" s="240"/>
      <c r="AN500" s="240"/>
    </row>
    <row r="501" ht="15.75" customHeight="1">
      <c r="A501" s="145"/>
      <c r="B501" s="145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  <c r="AB501" s="240"/>
      <c r="AC501" s="240"/>
      <c r="AD501" s="240"/>
      <c r="AE501" s="240"/>
      <c r="AF501" s="240"/>
      <c r="AG501" s="240"/>
      <c r="AH501" s="240"/>
      <c r="AI501" s="240"/>
      <c r="AJ501" s="240"/>
      <c r="AK501" s="240"/>
      <c r="AL501" s="240"/>
      <c r="AM501" s="240"/>
      <c r="AN501" s="240"/>
    </row>
    <row r="502" ht="15.75" customHeight="1">
      <c r="A502" s="145"/>
      <c r="B502" s="145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  <c r="AB502" s="240"/>
      <c r="AC502" s="240"/>
      <c r="AD502" s="240"/>
      <c r="AE502" s="240"/>
      <c r="AF502" s="240"/>
      <c r="AG502" s="240"/>
      <c r="AH502" s="240"/>
      <c r="AI502" s="240"/>
      <c r="AJ502" s="240"/>
      <c r="AK502" s="240"/>
      <c r="AL502" s="240"/>
      <c r="AM502" s="240"/>
      <c r="AN502" s="240"/>
    </row>
    <row r="503" ht="15.75" customHeight="1">
      <c r="A503" s="145"/>
      <c r="B503" s="145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  <c r="AB503" s="240"/>
      <c r="AC503" s="240"/>
      <c r="AD503" s="240"/>
      <c r="AE503" s="240"/>
      <c r="AF503" s="240"/>
      <c r="AG503" s="240"/>
      <c r="AH503" s="240"/>
      <c r="AI503" s="240"/>
      <c r="AJ503" s="240"/>
      <c r="AK503" s="240"/>
      <c r="AL503" s="240"/>
      <c r="AM503" s="240"/>
      <c r="AN503" s="240"/>
    </row>
    <row r="504" ht="15.75" customHeight="1">
      <c r="A504" s="145"/>
      <c r="B504" s="145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  <c r="AB504" s="240"/>
      <c r="AC504" s="240"/>
      <c r="AD504" s="240"/>
      <c r="AE504" s="240"/>
      <c r="AF504" s="240"/>
      <c r="AG504" s="240"/>
      <c r="AH504" s="240"/>
      <c r="AI504" s="240"/>
      <c r="AJ504" s="240"/>
      <c r="AK504" s="240"/>
      <c r="AL504" s="240"/>
      <c r="AM504" s="240"/>
      <c r="AN504" s="240"/>
    </row>
    <row r="505" ht="15.75" customHeight="1">
      <c r="A505" s="145"/>
      <c r="B505" s="145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  <c r="AB505" s="240"/>
      <c r="AC505" s="240"/>
      <c r="AD505" s="240"/>
      <c r="AE505" s="240"/>
      <c r="AF505" s="240"/>
      <c r="AG505" s="240"/>
      <c r="AH505" s="240"/>
      <c r="AI505" s="240"/>
      <c r="AJ505" s="240"/>
      <c r="AK505" s="240"/>
      <c r="AL505" s="240"/>
      <c r="AM505" s="240"/>
      <c r="AN505" s="240"/>
    </row>
    <row r="506" ht="15.75" customHeight="1">
      <c r="A506" s="145"/>
      <c r="B506" s="145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  <c r="AB506" s="240"/>
      <c r="AC506" s="240"/>
      <c r="AD506" s="240"/>
      <c r="AE506" s="240"/>
      <c r="AF506" s="240"/>
      <c r="AG506" s="240"/>
      <c r="AH506" s="240"/>
      <c r="AI506" s="240"/>
      <c r="AJ506" s="240"/>
      <c r="AK506" s="240"/>
      <c r="AL506" s="240"/>
      <c r="AM506" s="240"/>
      <c r="AN506" s="240"/>
    </row>
    <row r="507" ht="15.75" customHeight="1">
      <c r="A507" s="145"/>
      <c r="B507" s="145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  <c r="AA507" s="240"/>
      <c r="AB507" s="240"/>
      <c r="AC507" s="240"/>
      <c r="AD507" s="240"/>
      <c r="AE507" s="240"/>
      <c r="AF507" s="240"/>
      <c r="AG507" s="240"/>
      <c r="AH507" s="240"/>
      <c r="AI507" s="240"/>
      <c r="AJ507" s="240"/>
      <c r="AK507" s="240"/>
      <c r="AL507" s="240"/>
      <c r="AM507" s="240"/>
      <c r="AN507" s="240"/>
    </row>
    <row r="508" ht="15.75" customHeight="1">
      <c r="A508" s="145"/>
      <c r="B508" s="145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  <c r="AA508" s="240"/>
      <c r="AB508" s="240"/>
      <c r="AC508" s="240"/>
      <c r="AD508" s="240"/>
      <c r="AE508" s="240"/>
      <c r="AF508" s="240"/>
      <c r="AG508" s="240"/>
      <c r="AH508" s="240"/>
      <c r="AI508" s="240"/>
      <c r="AJ508" s="240"/>
      <c r="AK508" s="240"/>
      <c r="AL508" s="240"/>
      <c r="AM508" s="240"/>
      <c r="AN508" s="240"/>
    </row>
    <row r="509" ht="15.75" customHeight="1">
      <c r="A509" s="145"/>
      <c r="B509" s="145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  <c r="AA509" s="240"/>
      <c r="AB509" s="240"/>
      <c r="AC509" s="240"/>
      <c r="AD509" s="240"/>
      <c r="AE509" s="240"/>
      <c r="AF509" s="240"/>
      <c r="AG509" s="240"/>
      <c r="AH509" s="240"/>
      <c r="AI509" s="240"/>
      <c r="AJ509" s="240"/>
      <c r="AK509" s="240"/>
      <c r="AL509" s="240"/>
      <c r="AM509" s="240"/>
      <c r="AN509" s="240"/>
    </row>
    <row r="510" ht="15.75" customHeight="1">
      <c r="A510" s="145"/>
      <c r="B510" s="145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  <c r="AA510" s="240"/>
      <c r="AB510" s="240"/>
      <c r="AC510" s="240"/>
      <c r="AD510" s="240"/>
      <c r="AE510" s="240"/>
      <c r="AF510" s="240"/>
      <c r="AG510" s="240"/>
      <c r="AH510" s="240"/>
      <c r="AI510" s="240"/>
      <c r="AJ510" s="240"/>
      <c r="AK510" s="240"/>
      <c r="AL510" s="240"/>
      <c r="AM510" s="240"/>
      <c r="AN510" s="240"/>
    </row>
    <row r="511" ht="15.75" customHeight="1">
      <c r="A511" s="145"/>
      <c r="B511" s="145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  <c r="AA511" s="240"/>
      <c r="AB511" s="240"/>
      <c r="AC511" s="240"/>
      <c r="AD511" s="240"/>
      <c r="AE511" s="240"/>
      <c r="AF511" s="240"/>
      <c r="AG511" s="240"/>
      <c r="AH511" s="240"/>
      <c r="AI511" s="240"/>
      <c r="AJ511" s="240"/>
      <c r="AK511" s="240"/>
      <c r="AL511" s="240"/>
      <c r="AM511" s="240"/>
      <c r="AN511" s="240"/>
    </row>
    <row r="512" ht="15.75" customHeight="1">
      <c r="A512" s="145"/>
      <c r="B512" s="145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  <c r="AA512" s="240"/>
      <c r="AB512" s="240"/>
      <c r="AC512" s="240"/>
      <c r="AD512" s="240"/>
      <c r="AE512" s="240"/>
      <c r="AF512" s="240"/>
      <c r="AG512" s="240"/>
      <c r="AH512" s="240"/>
      <c r="AI512" s="240"/>
      <c r="AJ512" s="240"/>
      <c r="AK512" s="240"/>
      <c r="AL512" s="240"/>
      <c r="AM512" s="240"/>
      <c r="AN512" s="240"/>
    </row>
    <row r="513" ht="15.75" customHeight="1">
      <c r="A513" s="145"/>
      <c r="B513" s="145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  <c r="AA513" s="240"/>
      <c r="AB513" s="240"/>
      <c r="AC513" s="240"/>
      <c r="AD513" s="240"/>
      <c r="AE513" s="240"/>
      <c r="AF513" s="240"/>
      <c r="AG513" s="240"/>
      <c r="AH513" s="240"/>
      <c r="AI513" s="240"/>
      <c r="AJ513" s="240"/>
      <c r="AK513" s="240"/>
      <c r="AL513" s="240"/>
      <c r="AM513" s="240"/>
      <c r="AN513" s="240"/>
    </row>
    <row r="514" ht="15.75" customHeight="1">
      <c r="A514" s="145"/>
      <c r="B514" s="145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  <c r="AA514" s="240"/>
      <c r="AB514" s="240"/>
      <c r="AC514" s="240"/>
      <c r="AD514" s="240"/>
      <c r="AE514" s="240"/>
      <c r="AF514" s="240"/>
      <c r="AG514" s="240"/>
      <c r="AH514" s="240"/>
      <c r="AI514" s="240"/>
      <c r="AJ514" s="240"/>
      <c r="AK514" s="240"/>
      <c r="AL514" s="240"/>
      <c r="AM514" s="240"/>
      <c r="AN514" s="240"/>
    </row>
    <row r="515" ht="15.75" customHeight="1">
      <c r="A515" s="145"/>
      <c r="B515" s="145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  <c r="AA515" s="240"/>
      <c r="AB515" s="240"/>
      <c r="AC515" s="240"/>
      <c r="AD515" s="240"/>
      <c r="AE515" s="240"/>
      <c r="AF515" s="240"/>
      <c r="AG515" s="240"/>
      <c r="AH515" s="240"/>
      <c r="AI515" s="240"/>
      <c r="AJ515" s="240"/>
      <c r="AK515" s="240"/>
      <c r="AL515" s="240"/>
      <c r="AM515" s="240"/>
      <c r="AN515" s="240"/>
    </row>
    <row r="516" ht="15.75" customHeight="1">
      <c r="A516" s="145"/>
      <c r="B516" s="145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  <c r="AA516" s="240"/>
      <c r="AB516" s="240"/>
      <c r="AC516" s="240"/>
      <c r="AD516" s="240"/>
      <c r="AE516" s="240"/>
      <c r="AF516" s="240"/>
      <c r="AG516" s="240"/>
      <c r="AH516" s="240"/>
      <c r="AI516" s="240"/>
      <c r="AJ516" s="240"/>
      <c r="AK516" s="240"/>
      <c r="AL516" s="240"/>
      <c r="AM516" s="240"/>
      <c r="AN516" s="240"/>
    </row>
    <row r="517" ht="15.75" customHeight="1">
      <c r="A517" s="145"/>
      <c r="B517" s="145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  <c r="AA517" s="240"/>
      <c r="AB517" s="240"/>
      <c r="AC517" s="240"/>
      <c r="AD517" s="240"/>
      <c r="AE517" s="240"/>
      <c r="AF517" s="240"/>
      <c r="AG517" s="240"/>
      <c r="AH517" s="240"/>
      <c r="AI517" s="240"/>
      <c r="AJ517" s="240"/>
      <c r="AK517" s="240"/>
      <c r="AL517" s="240"/>
      <c r="AM517" s="240"/>
      <c r="AN517" s="240"/>
    </row>
    <row r="518" ht="15.75" customHeight="1">
      <c r="A518" s="145"/>
      <c r="B518" s="145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  <c r="AA518" s="240"/>
      <c r="AB518" s="240"/>
      <c r="AC518" s="240"/>
      <c r="AD518" s="240"/>
      <c r="AE518" s="240"/>
      <c r="AF518" s="240"/>
      <c r="AG518" s="240"/>
      <c r="AH518" s="240"/>
      <c r="AI518" s="240"/>
      <c r="AJ518" s="240"/>
      <c r="AK518" s="240"/>
      <c r="AL518" s="240"/>
      <c r="AM518" s="240"/>
      <c r="AN518" s="240"/>
    </row>
    <row r="519" ht="15.75" customHeight="1">
      <c r="A519" s="145"/>
      <c r="B519" s="145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  <c r="AA519" s="240"/>
      <c r="AB519" s="240"/>
      <c r="AC519" s="240"/>
      <c r="AD519" s="240"/>
      <c r="AE519" s="240"/>
      <c r="AF519" s="240"/>
      <c r="AG519" s="240"/>
      <c r="AH519" s="240"/>
      <c r="AI519" s="240"/>
      <c r="AJ519" s="240"/>
      <c r="AK519" s="240"/>
      <c r="AL519" s="240"/>
      <c r="AM519" s="240"/>
      <c r="AN519" s="240"/>
    </row>
    <row r="520" ht="15.75" customHeight="1">
      <c r="A520" s="145"/>
      <c r="B520" s="145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  <c r="AA520" s="240"/>
      <c r="AB520" s="240"/>
      <c r="AC520" s="240"/>
      <c r="AD520" s="240"/>
      <c r="AE520" s="240"/>
      <c r="AF520" s="240"/>
      <c r="AG520" s="240"/>
      <c r="AH520" s="240"/>
      <c r="AI520" s="240"/>
      <c r="AJ520" s="240"/>
      <c r="AK520" s="240"/>
      <c r="AL520" s="240"/>
      <c r="AM520" s="240"/>
      <c r="AN520" s="240"/>
    </row>
    <row r="521" ht="15.75" customHeight="1">
      <c r="A521" s="145"/>
      <c r="B521" s="145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  <c r="AA521" s="240"/>
      <c r="AB521" s="240"/>
      <c r="AC521" s="240"/>
      <c r="AD521" s="240"/>
      <c r="AE521" s="240"/>
      <c r="AF521" s="240"/>
      <c r="AG521" s="240"/>
      <c r="AH521" s="240"/>
      <c r="AI521" s="240"/>
      <c r="AJ521" s="240"/>
      <c r="AK521" s="240"/>
      <c r="AL521" s="240"/>
      <c r="AM521" s="240"/>
      <c r="AN521" s="240"/>
    </row>
    <row r="522" ht="15.75" customHeight="1">
      <c r="A522" s="145"/>
      <c r="B522" s="145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  <c r="AA522" s="240"/>
      <c r="AB522" s="240"/>
      <c r="AC522" s="240"/>
      <c r="AD522" s="240"/>
      <c r="AE522" s="240"/>
      <c r="AF522" s="240"/>
      <c r="AG522" s="240"/>
      <c r="AH522" s="240"/>
      <c r="AI522" s="240"/>
      <c r="AJ522" s="240"/>
      <c r="AK522" s="240"/>
      <c r="AL522" s="240"/>
      <c r="AM522" s="240"/>
      <c r="AN522" s="240"/>
    </row>
    <row r="523" ht="15.75" customHeight="1">
      <c r="A523" s="145"/>
      <c r="B523" s="145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  <c r="AA523" s="240"/>
      <c r="AB523" s="240"/>
      <c r="AC523" s="240"/>
      <c r="AD523" s="240"/>
      <c r="AE523" s="240"/>
      <c r="AF523" s="240"/>
      <c r="AG523" s="240"/>
      <c r="AH523" s="240"/>
      <c r="AI523" s="240"/>
      <c r="AJ523" s="240"/>
      <c r="AK523" s="240"/>
      <c r="AL523" s="240"/>
      <c r="AM523" s="240"/>
      <c r="AN523" s="240"/>
    </row>
    <row r="524" ht="15.75" customHeight="1">
      <c r="A524" s="145"/>
      <c r="B524" s="145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  <c r="AA524" s="240"/>
      <c r="AB524" s="240"/>
      <c r="AC524" s="240"/>
      <c r="AD524" s="240"/>
      <c r="AE524" s="240"/>
      <c r="AF524" s="240"/>
      <c r="AG524" s="240"/>
      <c r="AH524" s="240"/>
      <c r="AI524" s="240"/>
      <c r="AJ524" s="240"/>
      <c r="AK524" s="240"/>
      <c r="AL524" s="240"/>
      <c r="AM524" s="240"/>
      <c r="AN524" s="240"/>
    </row>
    <row r="525" ht="15.75" customHeight="1">
      <c r="A525" s="145"/>
      <c r="B525" s="145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  <c r="AA525" s="240"/>
      <c r="AB525" s="240"/>
      <c r="AC525" s="240"/>
      <c r="AD525" s="240"/>
      <c r="AE525" s="240"/>
      <c r="AF525" s="240"/>
      <c r="AG525" s="240"/>
      <c r="AH525" s="240"/>
      <c r="AI525" s="240"/>
      <c r="AJ525" s="240"/>
      <c r="AK525" s="240"/>
      <c r="AL525" s="240"/>
      <c r="AM525" s="240"/>
      <c r="AN525" s="240"/>
    </row>
    <row r="526" ht="15.75" customHeight="1">
      <c r="A526" s="145"/>
      <c r="B526" s="145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  <c r="AA526" s="240"/>
      <c r="AB526" s="240"/>
      <c r="AC526" s="240"/>
      <c r="AD526" s="240"/>
      <c r="AE526" s="240"/>
      <c r="AF526" s="240"/>
      <c r="AG526" s="240"/>
      <c r="AH526" s="240"/>
      <c r="AI526" s="240"/>
      <c r="AJ526" s="240"/>
      <c r="AK526" s="240"/>
      <c r="AL526" s="240"/>
      <c r="AM526" s="240"/>
      <c r="AN526" s="240"/>
    </row>
    <row r="527" ht="15.75" customHeight="1">
      <c r="A527" s="145"/>
      <c r="B527" s="145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  <c r="AA527" s="240"/>
      <c r="AB527" s="240"/>
      <c r="AC527" s="240"/>
      <c r="AD527" s="240"/>
      <c r="AE527" s="240"/>
      <c r="AF527" s="240"/>
      <c r="AG527" s="240"/>
      <c r="AH527" s="240"/>
      <c r="AI527" s="240"/>
      <c r="AJ527" s="240"/>
      <c r="AK527" s="240"/>
      <c r="AL527" s="240"/>
      <c r="AM527" s="240"/>
      <c r="AN527" s="240"/>
    </row>
    <row r="528" ht="15.75" customHeight="1">
      <c r="A528" s="145"/>
      <c r="B528" s="145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  <c r="AA528" s="240"/>
      <c r="AB528" s="240"/>
      <c r="AC528" s="240"/>
      <c r="AD528" s="240"/>
      <c r="AE528" s="240"/>
      <c r="AF528" s="240"/>
      <c r="AG528" s="240"/>
      <c r="AH528" s="240"/>
      <c r="AI528" s="240"/>
      <c r="AJ528" s="240"/>
      <c r="AK528" s="240"/>
      <c r="AL528" s="240"/>
      <c r="AM528" s="240"/>
      <c r="AN528" s="240"/>
    </row>
    <row r="529" ht="15.75" customHeight="1">
      <c r="A529" s="145"/>
      <c r="B529" s="145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  <c r="AA529" s="240"/>
      <c r="AB529" s="240"/>
      <c r="AC529" s="240"/>
      <c r="AD529" s="240"/>
      <c r="AE529" s="240"/>
      <c r="AF529" s="240"/>
      <c r="AG529" s="240"/>
      <c r="AH529" s="240"/>
      <c r="AI529" s="240"/>
      <c r="AJ529" s="240"/>
      <c r="AK529" s="240"/>
      <c r="AL529" s="240"/>
      <c r="AM529" s="240"/>
      <c r="AN529" s="240"/>
    </row>
    <row r="530" ht="15.75" customHeight="1">
      <c r="A530" s="145"/>
      <c r="B530" s="145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  <c r="AA530" s="240"/>
      <c r="AB530" s="240"/>
      <c r="AC530" s="240"/>
      <c r="AD530" s="240"/>
      <c r="AE530" s="240"/>
      <c r="AF530" s="240"/>
      <c r="AG530" s="240"/>
      <c r="AH530" s="240"/>
      <c r="AI530" s="240"/>
      <c r="AJ530" s="240"/>
      <c r="AK530" s="240"/>
      <c r="AL530" s="240"/>
      <c r="AM530" s="240"/>
      <c r="AN530" s="240"/>
    </row>
    <row r="531" ht="15.75" customHeight="1">
      <c r="A531" s="145"/>
      <c r="B531" s="145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  <c r="AA531" s="240"/>
      <c r="AB531" s="240"/>
      <c r="AC531" s="240"/>
      <c r="AD531" s="240"/>
      <c r="AE531" s="240"/>
      <c r="AF531" s="240"/>
      <c r="AG531" s="240"/>
      <c r="AH531" s="240"/>
      <c r="AI531" s="240"/>
      <c r="AJ531" s="240"/>
      <c r="AK531" s="240"/>
      <c r="AL531" s="240"/>
      <c r="AM531" s="240"/>
      <c r="AN531" s="240"/>
    </row>
    <row r="532" ht="15.75" customHeight="1">
      <c r="A532" s="145"/>
      <c r="B532" s="145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  <c r="AA532" s="240"/>
      <c r="AB532" s="240"/>
      <c r="AC532" s="240"/>
      <c r="AD532" s="240"/>
      <c r="AE532" s="240"/>
      <c r="AF532" s="240"/>
      <c r="AG532" s="240"/>
      <c r="AH532" s="240"/>
      <c r="AI532" s="240"/>
      <c r="AJ532" s="240"/>
      <c r="AK532" s="240"/>
      <c r="AL532" s="240"/>
      <c r="AM532" s="240"/>
      <c r="AN532" s="240"/>
    </row>
    <row r="533" ht="15.75" customHeight="1">
      <c r="A533" s="145"/>
      <c r="B533" s="145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  <c r="AA533" s="240"/>
      <c r="AB533" s="240"/>
      <c r="AC533" s="240"/>
      <c r="AD533" s="240"/>
      <c r="AE533" s="240"/>
      <c r="AF533" s="240"/>
      <c r="AG533" s="240"/>
      <c r="AH533" s="240"/>
      <c r="AI533" s="240"/>
      <c r="AJ533" s="240"/>
      <c r="AK533" s="240"/>
      <c r="AL533" s="240"/>
      <c r="AM533" s="240"/>
      <c r="AN533" s="240"/>
    </row>
    <row r="534" ht="15.75" customHeight="1">
      <c r="A534" s="145"/>
      <c r="B534" s="145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  <c r="AA534" s="240"/>
      <c r="AB534" s="240"/>
      <c r="AC534" s="240"/>
      <c r="AD534" s="240"/>
      <c r="AE534" s="240"/>
      <c r="AF534" s="240"/>
      <c r="AG534" s="240"/>
      <c r="AH534" s="240"/>
      <c r="AI534" s="240"/>
      <c r="AJ534" s="240"/>
      <c r="AK534" s="240"/>
      <c r="AL534" s="240"/>
      <c r="AM534" s="240"/>
      <c r="AN534" s="240"/>
    </row>
    <row r="535" ht="15.75" customHeight="1">
      <c r="A535" s="145"/>
      <c r="B535" s="145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  <c r="AA535" s="240"/>
      <c r="AB535" s="240"/>
      <c r="AC535" s="240"/>
      <c r="AD535" s="240"/>
      <c r="AE535" s="240"/>
      <c r="AF535" s="240"/>
      <c r="AG535" s="240"/>
      <c r="AH535" s="240"/>
      <c r="AI535" s="240"/>
      <c r="AJ535" s="240"/>
      <c r="AK535" s="240"/>
      <c r="AL535" s="240"/>
      <c r="AM535" s="240"/>
      <c r="AN535" s="240"/>
    </row>
    <row r="536" ht="15.75" customHeight="1">
      <c r="A536" s="145"/>
      <c r="B536" s="145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  <c r="AA536" s="240"/>
      <c r="AB536" s="240"/>
      <c r="AC536" s="240"/>
      <c r="AD536" s="240"/>
      <c r="AE536" s="240"/>
      <c r="AF536" s="240"/>
      <c r="AG536" s="240"/>
      <c r="AH536" s="240"/>
      <c r="AI536" s="240"/>
      <c r="AJ536" s="240"/>
      <c r="AK536" s="240"/>
      <c r="AL536" s="240"/>
      <c r="AM536" s="240"/>
      <c r="AN536" s="240"/>
    </row>
    <row r="537" ht="15.75" customHeight="1">
      <c r="A537" s="145"/>
      <c r="B537" s="145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  <c r="AA537" s="240"/>
      <c r="AB537" s="240"/>
      <c r="AC537" s="240"/>
      <c r="AD537" s="240"/>
      <c r="AE537" s="240"/>
      <c r="AF537" s="240"/>
      <c r="AG537" s="240"/>
      <c r="AH537" s="240"/>
      <c r="AI537" s="240"/>
      <c r="AJ537" s="240"/>
      <c r="AK537" s="240"/>
      <c r="AL537" s="240"/>
      <c r="AM537" s="240"/>
      <c r="AN537" s="240"/>
    </row>
    <row r="538" ht="15.75" customHeight="1">
      <c r="A538" s="145"/>
      <c r="B538" s="145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  <c r="AA538" s="240"/>
      <c r="AB538" s="240"/>
      <c r="AC538" s="240"/>
      <c r="AD538" s="240"/>
      <c r="AE538" s="240"/>
      <c r="AF538" s="240"/>
      <c r="AG538" s="240"/>
      <c r="AH538" s="240"/>
      <c r="AI538" s="240"/>
      <c r="AJ538" s="240"/>
      <c r="AK538" s="240"/>
      <c r="AL538" s="240"/>
      <c r="AM538" s="240"/>
      <c r="AN538" s="240"/>
    </row>
    <row r="539" ht="15.75" customHeight="1">
      <c r="A539" s="145"/>
      <c r="B539" s="145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  <c r="AA539" s="240"/>
      <c r="AB539" s="240"/>
      <c r="AC539" s="240"/>
      <c r="AD539" s="240"/>
      <c r="AE539" s="240"/>
      <c r="AF539" s="240"/>
      <c r="AG539" s="240"/>
      <c r="AH539" s="240"/>
      <c r="AI539" s="240"/>
      <c r="AJ539" s="240"/>
      <c r="AK539" s="240"/>
      <c r="AL539" s="240"/>
      <c r="AM539" s="240"/>
      <c r="AN539" s="240"/>
    </row>
    <row r="540" ht="15.75" customHeight="1">
      <c r="A540" s="145"/>
      <c r="B540" s="145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  <c r="AA540" s="240"/>
      <c r="AB540" s="240"/>
      <c r="AC540" s="240"/>
      <c r="AD540" s="240"/>
      <c r="AE540" s="240"/>
      <c r="AF540" s="240"/>
      <c r="AG540" s="240"/>
      <c r="AH540" s="240"/>
      <c r="AI540" s="240"/>
      <c r="AJ540" s="240"/>
      <c r="AK540" s="240"/>
      <c r="AL540" s="240"/>
      <c r="AM540" s="240"/>
      <c r="AN540" s="240"/>
    </row>
    <row r="541" ht="15.75" customHeight="1">
      <c r="A541" s="145"/>
      <c r="B541" s="145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  <c r="AA541" s="240"/>
      <c r="AB541" s="240"/>
      <c r="AC541" s="240"/>
      <c r="AD541" s="240"/>
      <c r="AE541" s="240"/>
      <c r="AF541" s="240"/>
      <c r="AG541" s="240"/>
      <c r="AH541" s="240"/>
      <c r="AI541" s="240"/>
      <c r="AJ541" s="240"/>
      <c r="AK541" s="240"/>
      <c r="AL541" s="240"/>
      <c r="AM541" s="240"/>
      <c r="AN541" s="240"/>
    </row>
    <row r="542" ht="15.75" customHeight="1">
      <c r="A542" s="145"/>
      <c r="B542" s="145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  <c r="AA542" s="240"/>
      <c r="AB542" s="240"/>
      <c r="AC542" s="240"/>
      <c r="AD542" s="240"/>
      <c r="AE542" s="240"/>
      <c r="AF542" s="240"/>
      <c r="AG542" s="240"/>
      <c r="AH542" s="240"/>
      <c r="AI542" s="240"/>
      <c r="AJ542" s="240"/>
      <c r="AK542" s="240"/>
      <c r="AL542" s="240"/>
      <c r="AM542" s="240"/>
      <c r="AN542" s="240"/>
    </row>
    <row r="543" ht="15.75" customHeight="1">
      <c r="A543" s="145"/>
      <c r="B543" s="145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  <c r="AA543" s="240"/>
      <c r="AB543" s="240"/>
      <c r="AC543" s="240"/>
      <c r="AD543" s="240"/>
      <c r="AE543" s="240"/>
      <c r="AF543" s="240"/>
      <c r="AG543" s="240"/>
      <c r="AH543" s="240"/>
      <c r="AI543" s="240"/>
      <c r="AJ543" s="240"/>
      <c r="AK543" s="240"/>
      <c r="AL543" s="240"/>
      <c r="AM543" s="240"/>
      <c r="AN543" s="240"/>
    </row>
    <row r="544" ht="15.75" customHeight="1">
      <c r="A544" s="145"/>
      <c r="B544" s="145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  <c r="AA544" s="240"/>
      <c r="AB544" s="240"/>
      <c r="AC544" s="240"/>
      <c r="AD544" s="240"/>
      <c r="AE544" s="240"/>
      <c r="AF544" s="240"/>
      <c r="AG544" s="240"/>
      <c r="AH544" s="240"/>
      <c r="AI544" s="240"/>
      <c r="AJ544" s="240"/>
      <c r="AK544" s="240"/>
      <c r="AL544" s="240"/>
      <c r="AM544" s="240"/>
      <c r="AN544" s="240"/>
    </row>
    <row r="545" ht="15.75" customHeight="1">
      <c r="A545" s="145"/>
      <c r="B545" s="145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  <c r="AA545" s="240"/>
      <c r="AB545" s="240"/>
      <c r="AC545" s="240"/>
      <c r="AD545" s="240"/>
      <c r="AE545" s="240"/>
      <c r="AF545" s="240"/>
      <c r="AG545" s="240"/>
      <c r="AH545" s="240"/>
      <c r="AI545" s="240"/>
      <c r="AJ545" s="240"/>
      <c r="AK545" s="240"/>
      <c r="AL545" s="240"/>
      <c r="AM545" s="240"/>
      <c r="AN545" s="240"/>
    </row>
    <row r="546" ht="15.75" customHeight="1">
      <c r="A546" s="145"/>
      <c r="B546" s="145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  <c r="AA546" s="240"/>
      <c r="AB546" s="240"/>
      <c r="AC546" s="240"/>
      <c r="AD546" s="240"/>
      <c r="AE546" s="240"/>
      <c r="AF546" s="240"/>
      <c r="AG546" s="240"/>
      <c r="AH546" s="240"/>
      <c r="AI546" s="240"/>
      <c r="AJ546" s="240"/>
      <c r="AK546" s="240"/>
      <c r="AL546" s="240"/>
      <c r="AM546" s="240"/>
      <c r="AN546" s="240"/>
    </row>
    <row r="547" ht="15.75" customHeight="1">
      <c r="A547" s="145"/>
      <c r="B547" s="145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  <c r="AA547" s="240"/>
      <c r="AB547" s="240"/>
      <c r="AC547" s="240"/>
      <c r="AD547" s="240"/>
      <c r="AE547" s="240"/>
      <c r="AF547" s="240"/>
      <c r="AG547" s="240"/>
      <c r="AH547" s="240"/>
      <c r="AI547" s="240"/>
      <c r="AJ547" s="240"/>
      <c r="AK547" s="240"/>
      <c r="AL547" s="240"/>
      <c r="AM547" s="240"/>
      <c r="AN547" s="240"/>
    </row>
    <row r="548" ht="15.75" customHeight="1">
      <c r="A548" s="145"/>
      <c r="B548" s="145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  <c r="AA548" s="240"/>
      <c r="AB548" s="240"/>
      <c r="AC548" s="240"/>
      <c r="AD548" s="240"/>
      <c r="AE548" s="240"/>
      <c r="AF548" s="240"/>
      <c r="AG548" s="240"/>
      <c r="AH548" s="240"/>
      <c r="AI548" s="240"/>
      <c r="AJ548" s="240"/>
      <c r="AK548" s="240"/>
      <c r="AL548" s="240"/>
      <c r="AM548" s="240"/>
      <c r="AN548" s="240"/>
    </row>
    <row r="549" ht="15.75" customHeight="1">
      <c r="A549" s="145"/>
      <c r="B549" s="145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  <c r="AA549" s="240"/>
      <c r="AB549" s="240"/>
      <c r="AC549" s="240"/>
      <c r="AD549" s="240"/>
      <c r="AE549" s="240"/>
      <c r="AF549" s="240"/>
      <c r="AG549" s="240"/>
      <c r="AH549" s="240"/>
      <c r="AI549" s="240"/>
      <c r="AJ549" s="240"/>
      <c r="AK549" s="240"/>
      <c r="AL549" s="240"/>
      <c r="AM549" s="240"/>
      <c r="AN549" s="240"/>
    </row>
    <row r="550" ht="15.75" customHeight="1">
      <c r="A550" s="145"/>
      <c r="B550" s="145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  <c r="AA550" s="240"/>
      <c r="AB550" s="240"/>
      <c r="AC550" s="240"/>
      <c r="AD550" s="240"/>
      <c r="AE550" s="240"/>
      <c r="AF550" s="240"/>
      <c r="AG550" s="240"/>
      <c r="AH550" s="240"/>
      <c r="AI550" s="240"/>
      <c r="AJ550" s="240"/>
      <c r="AK550" s="240"/>
      <c r="AL550" s="240"/>
      <c r="AM550" s="240"/>
      <c r="AN550" s="240"/>
    </row>
    <row r="551" ht="15.75" customHeight="1">
      <c r="A551" s="145"/>
      <c r="B551" s="145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  <c r="AA551" s="240"/>
      <c r="AB551" s="240"/>
      <c r="AC551" s="240"/>
      <c r="AD551" s="240"/>
      <c r="AE551" s="240"/>
      <c r="AF551" s="240"/>
      <c r="AG551" s="240"/>
      <c r="AH551" s="240"/>
      <c r="AI551" s="240"/>
      <c r="AJ551" s="240"/>
      <c r="AK551" s="240"/>
      <c r="AL551" s="240"/>
      <c r="AM551" s="240"/>
      <c r="AN551" s="240"/>
    </row>
    <row r="552" ht="15.75" customHeight="1">
      <c r="A552" s="145"/>
      <c r="B552" s="145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  <c r="AA552" s="240"/>
      <c r="AB552" s="240"/>
      <c r="AC552" s="240"/>
      <c r="AD552" s="240"/>
      <c r="AE552" s="240"/>
      <c r="AF552" s="240"/>
      <c r="AG552" s="240"/>
      <c r="AH552" s="240"/>
      <c r="AI552" s="240"/>
      <c r="AJ552" s="240"/>
      <c r="AK552" s="240"/>
      <c r="AL552" s="240"/>
      <c r="AM552" s="240"/>
      <c r="AN552" s="240"/>
    </row>
    <row r="553" ht="15.75" customHeight="1">
      <c r="A553" s="145"/>
      <c r="B553" s="145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  <c r="AA553" s="240"/>
      <c r="AB553" s="240"/>
      <c r="AC553" s="240"/>
      <c r="AD553" s="240"/>
      <c r="AE553" s="240"/>
      <c r="AF553" s="240"/>
      <c r="AG553" s="240"/>
      <c r="AH553" s="240"/>
      <c r="AI553" s="240"/>
      <c r="AJ553" s="240"/>
      <c r="AK553" s="240"/>
      <c r="AL553" s="240"/>
      <c r="AM553" s="240"/>
      <c r="AN553" s="240"/>
    </row>
    <row r="554" ht="15.75" customHeight="1">
      <c r="A554" s="145"/>
      <c r="B554" s="145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  <c r="AA554" s="240"/>
      <c r="AB554" s="240"/>
      <c r="AC554" s="240"/>
      <c r="AD554" s="240"/>
      <c r="AE554" s="240"/>
      <c r="AF554" s="240"/>
      <c r="AG554" s="240"/>
      <c r="AH554" s="240"/>
      <c r="AI554" s="240"/>
      <c r="AJ554" s="240"/>
      <c r="AK554" s="240"/>
      <c r="AL554" s="240"/>
      <c r="AM554" s="240"/>
      <c r="AN554" s="240"/>
    </row>
    <row r="555" ht="15.75" customHeight="1">
      <c r="A555" s="145"/>
      <c r="B555" s="145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  <c r="AA555" s="240"/>
      <c r="AB555" s="240"/>
      <c r="AC555" s="240"/>
      <c r="AD555" s="240"/>
      <c r="AE555" s="240"/>
      <c r="AF555" s="240"/>
      <c r="AG555" s="240"/>
      <c r="AH555" s="240"/>
      <c r="AI555" s="240"/>
      <c r="AJ555" s="240"/>
      <c r="AK555" s="240"/>
      <c r="AL555" s="240"/>
      <c r="AM555" s="240"/>
      <c r="AN555" s="240"/>
    </row>
    <row r="556" ht="15.75" customHeight="1">
      <c r="A556" s="145"/>
      <c r="B556" s="145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  <c r="AA556" s="240"/>
      <c r="AB556" s="240"/>
      <c r="AC556" s="240"/>
      <c r="AD556" s="240"/>
      <c r="AE556" s="240"/>
      <c r="AF556" s="240"/>
      <c r="AG556" s="240"/>
      <c r="AH556" s="240"/>
      <c r="AI556" s="240"/>
      <c r="AJ556" s="240"/>
      <c r="AK556" s="240"/>
      <c r="AL556" s="240"/>
      <c r="AM556" s="240"/>
      <c r="AN556" s="240"/>
    </row>
    <row r="557" ht="15.75" customHeight="1">
      <c r="A557" s="145"/>
      <c r="B557" s="145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  <c r="AA557" s="240"/>
      <c r="AB557" s="240"/>
      <c r="AC557" s="240"/>
      <c r="AD557" s="240"/>
      <c r="AE557" s="240"/>
      <c r="AF557" s="240"/>
      <c r="AG557" s="240"/>
      <c r="AH557" s="240"/>
      <c r="AI557" s="240"/>
      <c r="AJ557" s="240"/>
      <c r="AK557" s="240"/>
      <c r="AL557" s="240"/>
      <c r="AM557" s="240"/>
      <c r="AN557" s="240"/>
    </row>
    <row r="558" ht="15.75" customHeight="1">
      <c r="A558" s="145"/>
      <c r="B558" s="145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  <c r="AA558" s="240"/>
      <c r="AB558" s="240"/>
      <c r="AC558" s="240"/>
      <c r="AD558" s="240"/>
      <c r="AE558" s="240"/>
      <c r="AF558" s="240"/>
      <c r="AG558" s="240"/>
      <c r="AH558" s="240"/>
      <c r="AI558" s="240"/>
      <c r="AJ558" s="240"/>
      <c r="AK558" s="240"/>
      <c r="AL558" s="240"/>
      <c r="AM558" s="240"/>
      <c r="AN558" s="240"/>
    </row>
    <row r="559" ht="15.75" customHeight="1">
      <c r="A559" s="145"/>
      <c r="B559" s="145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  <c r="AA559" s="240"/>
      <c r="AB559" s="240"/>
      <c r="AC559" s="240"/>
      <c r="AD559" s="240"/>
      <c r="AE559" s="240"/>
      <c r="AF559" s="240"/>
      <c r="AG559" s="240"/>
      <c r="AH559" s="240"/>
      <c r="AI559" s="240"/>
      <c r="AJ559" s="240"/>
      <c r="AK559" s="240"/>
      <c r="AL559" s="240"/>
      <c r="AM559" s="240"/>
      <c r="AN559" s="240"/>
    </row>
    <row r="560" ht="15.75" customHeight="1">
      <c r="A560" s="145"/>
      <c r="B560" s="145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  <c r="AA560" s="240"/>
      <c r="AB560" s="240"/>
      <c r="AC560" s="240"/>
      <c r="AD560" s="240"/>
      <c r="AE560" s="240"/>
      <c r="AF560" s="240"/>
      <c r="AG560" s="240"/>
      <c r="AH560" s="240"/>
      <c r="AI560" s="240"/>
      <c r="AJ560" s="240"/>
      <c r="AK560" s="240"/>
      <c r="AL560" s="240"/>
      <c r="AM560" s="240"/>
      <c r="AN560" s="240"/>
    </row>
    <row r="561" ht="15.75" customHeight="1">
      <c r="A561" s="145"/>
      <c r="B561" s="145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  <c r="AA561" s="240"/>
      <c r="AB561" s="240"/>
      <c r="AC561" s="240"/>
      <c r="AD561" s="240"/>
      <c r="AE561" s="240"/>
      <c r="AF561" s="240"/>
      <c r="AG561" s="240"/>
      <c r="AH561" s="240"/>
      <c r="AI561" s="240"/>
      <c r="AJ561" s="240"/>
      <c r="AK561" s="240"/>
      <c r="AL561" s="240"/>
      <c r="AM561" s="240"/>
      <c r="AN561" s="240"/>
    </row>
    <row r="562" ht="15.75" customHeight="1">
      <c r="A562" s="145"/>
      <c r="B562" s="145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  <c r="AA562" s="240"/>
      <c r="AB562" s="240"/>
      <c r="AC562" s="240"/>
      <c r="AD562" s="240"/>
      <c r="AE562" s="240"/>
      <c r="AF562" s="240"/>
      <c r="AG562" s="240"/>
      <c r="AH562" s="240"/>
      <c r="AI562" s="240"/>
      <c r="AJ562" s="240"/>
      <c r="AK562" s="240"/>
      <c r="AL562" s="240"/>
      <c r="AM562" s="240"/>
      <c r="AN562" s="240"/>
    </row>
    <row r="563" ht="15.75" customHeight="1">
      <c r="A563" s="145"/>
      <c r="B563" s="145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  <c r="AA563" s="240"/>
      <c r="AB563" s="240"/>
      <c r="AC563" s="240"/>
      <c r="AD563" s="240"/>
      <c r="AE563" s="240"/>
      <c r="AF563" s="240"/>
      <c r="AG563" s="240"/>
      <c r="AH563" s="240"/>
      <c r="AI563" s="240"/>
      <c r="AJ563" s="240"/>
      <c r="AK563" s="240"/>
      <c r="AL563" s="240"/>
      <c r="AM563" s="240"/>
      <c r="AN563" s="240"/>
    </row>
    <row r="564" ht="15.75" customHeight="1">
      <c r="A564" s="145"/>
      <c r="B564" s="145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  <c r="AA564" s="240"/>
      <c r="AB564" s="240"/>
      <c r="AC564" s="240"/>
      <c r="AD564" s="240"/>
      <c r="AE564" s="240"/>
      <c r="AF564" s="240"/>
      <c r="AG564" s="240"/>
      <c r="AH564" s="240"/>
      <c r="AI564" s="240"/>
      <c r="AJ564" s="240"/>
      <c r="AK564" s="240"/>
      <c r="AL564" s="240"/>
      <c r="AM564" s="240"/>
      <c r="AN564" s="240"/>
    </row>
    <row r="565" ht="15.75" customHeight="1">
      <c r="A565" s="145"/>
      <c r="B565" s="145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  <c r="AA565" s="240"/>
      <c r="AB565" s="240"/>
      <c r="AC565" s="240"/>
      <c r="AD565" s="240"/>
      <c r="AE565" s="240"/>
      <c r="AF565" s="240"/>
      <c r="AG565" s="240"/>
      <c r="AH565" s="240"/>
      <c r="AI565" s="240"/>
      <c r="AJ565" s="240"/>
      <c r="AK565" s="240"/>
      <c r="AL565" s="240"/>
      <c r="AM565" s="240"/>
      <c r="AN565" s="240"/>
    </row>
    <row r="566" ht="15.75" customHeight="1">
      <c r="A566" s="145"/>
      <c r="B566" s="145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  <c r="AA566" s="240"/>
      <c r="AB566" s="240"/>
      <c r="AC566" s="240"/>
      <c r="AD566" s="240"/>
      <c r="AE566" s="240"/>
      <c r="AF566" s="240"/>
      <c r="AG566" s="240"/>
      <c r="AH566" s="240"/>
      <c r="AI566" s="240"/>
      <c r="AJ566" s="240"/>
      <c r="AK566" s="240"/>
      <c r="AL566" s="240"/>
      <c r="AM566" s="240"/>
      <c r="AN566" s="240"/>
    </row>
    <row r="567" ht="15.75" customHeight="1">
      <c r="A567" s="145"/>
      <c r="B567" s="145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  <c r="AA567" s="240"/>
      <c r="AB567" s="240"/>
      <c r="AC567" s="240"/>
      <c r="AD567" s="240"/>
      <c r="AE567" s="240"/>
      <c r="AF567" s="240"/>
      <c r="AG567" s="240"/>
      <c r="AH567" s="240"/>
      <c r="AI567" s="240"/>
      <c r="AJ567" s="240"/>
      <c r="AK567" s="240"/>
      <c r="AL567" s="240"/>
      <c r="AM567" s="240"/>
      <c r="AN567" s="240"/>
    </row>
    <row r="568" ht="15.75" customHeight="1">
      <c r="A568" s="145"/>
      <c r="B568" s="145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  <c r="AA568" s="240"/>
      <c r="AB568" s="240"/>
      <c r="AC568" s="240"/>
      <c r="AD568" s="240"/>
      <c r="AE568" s="240"/>
      <c r="AF568" s="240"/>
      <c r="AG568" s="240"/>
      <c r="AH568" s="240"/>
      <c r="AI568" s="240"/>
      <c r="AJ568" s="240"/>
      <c r="AK568" s="240"/>
      <c r="AL568" s="240"/>
      <c r="AM568" s="240"/>
      <c r="AN568" s="240"/>
    </row>
    <row r="569" ht="15.75" customHeight="1">
      <c r="A569" s="145"/>
      <c r="B569" s="145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  <c r="AA569" s="240"/>
      <c r="AB569" s="240"/>
      <c r="AC569" s="240"/>
      <c r="AD569" s="240"/>
      <c r="AE569" s="240"/>
      <c r="AF569" s="240"/>
      <c r="AG569" s="240"/>
      <c r="AH569" s="240"/>
      <c r="AI569" s="240"/>
      <c r="AJ569" s="240"/>
      <c r="AK569" s="240"/>
      <c r="AL569" s="240"/>
      <c r="AM569" s="240"/>
      <c r="AN569" s="240"/>
    </row>
    <row r="570" ht="15.75" customHeight="1">
      <c r="A570" s="145"/>
      <c r="B570" s="145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  <c r="AA570" s="240"/>
      <c r="AB570" s="240"/>
      <c r="AC570" s="240"/>
      <c r="AD570" s="240"/>
      <c r="AE570" s="240"/>
      <c r="AF570" s="240"/>
      <c r="AG570" s="240"/>
      <c r="AH570" s="240"/>
      <c r="AI570" s="240"/>
      <c r="AJ570" s="240"/>
      <c r="AK570" s="240"/>
      <c r="AL570" s="240"/>
      <c r="AM570" s="240"/>
      <c r="AN570" s="240"/>
    </row>
    <row r="571" ht="15.75" customHeight="1">
      <c r="A571" s="145"/>
      <c r="B571" s="145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  <c r="AA571" s="240"/>
      <c r="AB571" s="240"/>
      <c r="AC571" s="240"/>
      <c r="AD571" s="240"/>
      <c r="AE571" s="240"/>
      <c r="AF571" s="240"/>
      <c r="AG571" s="240"/>
      <c r="AH571" s="240"/>
      <c r="AI571" s="240"/>
      <c r="AJ571" s="240"/>
      <c r="AK571" s="240"/>
      <c r="AL571" s="240"/>
      <c r="AM571" s="240"/>
      <c r="AN571" s="240"/>
    </row>
    <row r="572" ht="15.75" customHeight="1">
      <c r="A572" s="145"/>
      <c r="B572" s="145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  <c r="AA572" s="240"/>
      <c r="AB572" s="240"/>
      <c r="AC572" s="240"/>
      <c r="AD572" s="240"/>
      <c r="AE572" s="240"/>
      <c r="AF572" s="240"/>
      <c r="AG572" s="240"/>
      <c r="AH572" s="240"/>
      <c r="AI572" s="240"/>
      <c r="AJ572" s="240"/>
      <c r="AK572" s="240"/>
      <c r="AL572" s="240"/>
      <c r="AM572" s="240"/>
      <c r="AN572" s="240"/>
    </row>
    <row r="573" ht="15.75" customHeight="1">
      <c r="A573" s="145"/>
      <c r="B573" s="145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  <c r="AA573" s="240"/>
      <c r="AB573" s="240"/>
      <c r="AC573" s="240"/>
      <c r="AD573" s="240"/>
      <c r="AE573" s="240"/>
      <c r="AF573" s="240"/>
      <c r="AG573" s="240"/>
      <c r="AH573" s="240"/>
      <c r="AI573" s="240"/>
      <c r="AJ573" s="240"/>
      <c r="AK573" s="240"/>
      <c r="AL573" s="240"/>
      <c r="AM573" s="240"/>
      <c r="AN573" s="240"/>
    </row>
    <row r="574" ht="15.75" customHeight="1">
      <c r="A574" s="145"/>
      <c r="B574" s="145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  <c r="AA574" s="240"/>
      <c r="AB574" s="240"/>
      <c r="AC574" s="240"/>
      <c r="AD574" s="240"/>
      <c r="AE574" s="240"/>
      <c r="AF574" s="240"/>
      <c r="AG574" s="240"/>
      <c r="AH574" s="240"/>
      <c r="AI574" s="240"/>
      <c r="AJ574" s="240"/>
      <c r="AK574" s="240"/>
      <c r="AL574" s="240"/>
      <c r="AM574" s="240"/>
      <c r="AN574" s="240"/>
    </row>
    <row r="575" ht="15.75" customHeight="1">
      <c r="A575" s="145"/>
      <c r="B575" s="145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  <c r="AA575" s="240"/>
      <c r="AB575" s="240"/>
      <c r="AC575" s="240"/>
      <c r="AD575" s="240"/>
      <c r="AE575" s="240"/>
      <c r="AF575" s="240"/>
      <c r="AG575" s="240"/>
      <c r="AH575" s="240"/>
      <c r="AI575" s="240"/>
      <c r="AJ575" s="240"/>
      <c r="AK575" s="240"/>
      <c r="AL575" s="240"/>
      <c r="AM575" s="240"/>
      <c r="AN575" s="240"/>
    </row>
    <row r="576" ht="15.75" customHeight="1">
      <c r="A576" s="145"/>
      <c r="B576" s="145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  <c r="AA576" s="240"/>
      <c r="AB576" s="240"/>
      <c r="AC576" s="240"/>
      <c r="AD576" s="240"/>
      <c r="AE576" s="240"/>
      <c r="AF576" s="240"/>
      <c r="AG576" s="240"/>
      <c r="AH576" s="240"/>
      <c r="AI576" s="240"/>
      <c r="AJ576" s="240"/>
      <c r="AK576" s="240"/>
      <c r="AL576" s="240"/>
      <c r="AM576" s="240"/>
      <c r="AN576" s="240"/>
    </row>
    <row r="577" ht="15.75" customHeight="1">
      <c r="A577" s="145"/>
      <c r="B577" s="145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  <c r="AA577" s="240"/>
      <c r="AB577" s="240"/>
      <c r="AC577" s="240"/>
      <c r="AD577" s="240"/>
      <c r="AE577" s="240"/>
      <c r="AF577" s="240"/>
      <c r="AG577" s="240"/>
      <c r="AH577" s="240"/>
      <c r="AI577" s="240"/>
      <c r="AJ577" s="240"/>
      <c r="AK577" s="240"/>
      <c r="AL577" s="240"/>
      <c r="AM577" s="240"/>
      <c r="AN577" s="240"/>
    </row>
    <row r="578" ht="15.75" customHeight="1">
      <c r="A578" s="145"/>
      <c r="B578" s="145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  <c r="AA578" s="240"/>
      <c r="AB578" s="240"/>
      <c r="AC578" s="240"/>
      <c r="AD578" s="240"/>
      <c r="AE578" s="240"/>
      <c r="AF578" s="240"/>
      <c r="AG578" s="240"/>
      <c r="AH578" s="240"/>
      <c r="AI578" s="240"/>
      <c r="AJ578" s="240"/>
      <c r="AK578" s="240"/>
      <c r="AL578" s="240"/>
      <c r="AM578" s="240"/>
      <c r="AN578" s="240"/>
    </row>
    <row r="579" ht="15.75" customHeight="1">
      <c r="A579" s="145"/>
      <c r="B579" s="145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  <c r="AA579" s="240"/>
      <c r="AB579" s="240"/>
      <c r="AC579" s="240"/>
      <c r="AD579" s="240"/>
      <c r="AE579" s="240"/>
      <c r="AF579" s="240"/>
      <c r="AG579" s="240"/>
      <c r="AH579" s="240"/>
      <c r="AI579" s="240"/>
      <c r="AJ579" s="240"/>
      <c r="AK579" s="240"/>
      <c r="AL579" s="240"/>
      <c r="AM579" s="240"/>
      <c r="AN579" s="240"/>
    </row>
    <row r="580" ht="15.75" customHeight="1">
      <c r="A580" s="145"/>
      <c r="B580" s="145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  <c r="AA580" s="240"/>
      <c r="AB580" s="240"/>
      <c r="AC580" s="240"/>
      <c r="AD580" s="240"/>
      <c r="AE580" s="240"/>
      <c r="AF580" s="240"/>
      <c r="AG580" s="240"/>
      <c r="AH580" s="240"/>
      <c r="AI580" s="240"/>
      <c r="AJ580" s="240"/>
      <c r="AK580" s="240"/>
      <c r="AL580" s="240"/>
      <c r="AM580" s="240"/>
      <c r="AN580" s="240"/>
    </row>
    <row r="581" ht="15.75" customHeight="1">
      <c r="A581" s="145"/>
      <c r="B581" s="145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  <c r="AA581" s="240"/>
      <c r="AB581" s="240"/>
      <c r="AC581" s="240"/>
      <c r="AD581" s="240"/>
      <c r="AE581" s="240"/>
      <c r="AF581" s="240"/>
      <c r="AG581" s="240"/>
      <c r="AH581" s="240"/>
      <c r="AI581" s="240"/>
      <c r="AJ581" s="240"/>
      <c r="AK581" s="240"/>
      <c r="AL581" s="240"/>
      <c r="AM581" s="240"/>
      <c r="AN581" s="240"/>
    </row>
    <row r="582" ht="15.75" customHeight="1">
      <c r="A582" s="145"/>
      <c r="B582" s="145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  <c r="AA582" s="240"/>
      <c r="AB582" s="240"/>
      <c r="AC582" s="240"/>
      <c r="AD582" s="240"/>
      <c r="AE582" s="240"/>
      <c r="AF582" s="240"/>
      <c r="AG582" s="240"/>
      <c r="AH582" s="240"/>
      <c r="AI582" s="240"/>
      <c r="AJ582" s="240"/>
      <c r="AK582" s="240"/>
      <c r="AL582" s="240"/>
      <c r="AM582" s="240"/>
      <c r="AN582" s="240"/>
    </row>
    <row r="583" ht="15.75" customHeight="1">
      <c r="A583" s="145"/>
      <c r="B583" s="145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  <c r="AA583" s="240"/>
      <c r="AB583" s="240"/>
      <c r="AC583" s="240"/>
      <c r="AD583" s="240"/>
      <c r="AE583" s="240"/>
      <c r="AF583" s="240"/>
      <c r="AG583" s="240"/>
      <c r="AH583" s="240"/>
      <c r="AI583" s="240"/>
      <c r="AJ583" s="240"/>
      <c r="AK583" s="240"/>
      <c r="AL583" s="240"/>
      <c r="AM583" s="240"/>
      <c r="AN583" s="240"/>
    </row>
    <row r="584" ht="15.75" customHeight="1">
      <c r="A584" s="145"/>
      <c r="B584" s="145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  <c r="AA584" s="240"/>
      <c r="AB584" s="240"/>
      <c r="AC584" s="240"/>
      <c r="AD584" s="240"/>
      <c r="AE584" s="240"/>
      <c r="AF584" s="240"/>
      <c r="AG584" s="240"/>
      <c r="AH584" s="240"/>
      <c r="AI584" s="240"/>
      <c r="AJ584" s="240"/>
      <c r="AK584" s="240"/>
      <c r="AL584" s="240"/>
      <c r="AM584" s="240"/>
      <c r="AN584" s="240"/>
    </row>
    <row r="585" ht="15.75" customHeight="1">
      <c r="A585" s="145"/>
      <c r="B585" s="145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  <c r="AA585" s="240"/>
      <c r="AB585" s="240"/>
      <c r="AC585" s="240"/>
      <c r="AD585" s="240"/>
      <c r="AE585" s="240"/>
      <c r="AF585" s="240"/>
      <c r="AG585" s="240"/>
      <c r="AH585" s="240"/>
      <c r="AI585" s="240"/>
      <c r="AJ585" s="240"/>
      <c r="AK585" s="240"/>
      <c r="AL585" s="240"/>
      <c r="AM585" s="240"/>
      <c r="AN585" s="240"/>
    </row>
    <row r="586" ht="15.75" customHeight="1">
      <c r="A586" s="145"/>
      <c r="B586" s="145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  <c r="AA586" s="240"/>
      <c r="AB586" s="240"/>
      <c r="AC586" s="240"/>
      <c r="AD586" s="240"/>
      <c r="AE586" s="240"/>
      <c r="AF586" s="240"/>
      <c r="AG586" s="240"/>
      <c r="AH586" s="240"/>
      <c r="AI586" s="240"/>
      <c r="AJ586" s="240"/>
      <c r="AK586" s="240"/>
      <c r="AL586" s="240"/>
      <c r="AM586" s="240"/>
      <c r="AN586" s="240"/>
    </row>
    <row r="587" ht="15.75" customHeight="1">
      <c r="A587" s="145"/>
      <c r="B587" s="145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  <c r="AA587" s="240"/>
      <c r="AB587" s="240"/>
      <c r="AC587" s="240"/>
      <c r="AD587" s="240"/>
      <c r="AE587" s="240"/>
      <c r="AF587" s="240"/>
      <c r="AG587" s="240"/>
      <c r="AH587" s="240"/>
      <c r="AI587" s="240"/>
      <c r="AJ587" s="240"/>
      <c r="AK587" s="240"/>
      <c r="AL587" s="240"/>
      <c r="AM587" s="240"/>
      <c r="AN587" s="240"/>
    </row>
    <row r="588" ht="15.75" customHeight="1">
      <c r="A588" s="145"/>
      <c r="B588" s="145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  <c r="AA588" s="240"/>
      <c r="AB588" s="240"/>
      <c r="AC588" s="240"/>
      <c r="AD588" s="240"/>
      <c r="AE588" s="240"/>
      <c r="AF588" s="240"/>
      <c r="AG588" s="240"/>
      <c r="AH588" s="240"/>
      <c r="AI588" s="240"/>
      <c r="AJ588" s="240"/>
      <c r="AK588" s="240"/>
      <c r="AL588" s="240"/>
      <c r="AM588" s="240"/>
      <c r="AN588" s="240"/>
    </row>
    <row r="589" ht="15.75" customHeight="1">
      <c r="A589" s="145"/>
      <c r="B589" s="145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  <c r="AA589" s="240"/>
      <c r="AB589" s="240"/>
      <c r="AC589" s="240"/>
      <c r="AD589" s="240"/>
      <c r="AE589" s="240"/>
      <c r="AF589" s="240"/>
      <c r="AG589" s="240"/>
      <c r="AH589" s="240"/>
      <c r="AI589" s="240"/>
      <c r="AJ589" s="240"/>
      <c r="AK589" s="240"/>
      <c r="AL589" s="240"/>
      <c r="AM589" s="240"/>
      <c r="AN589" s="240"/>
    </row>
    <row r="590" ht="15.75" customHeight="1">
      <c r="A590" s="145"/>
      <c r="B590" s="145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  <c r="AA590" s="240"/>
      <c r="AB590" s="240"/>
      <c r="AC590" s="240"/>
      <c r="AD590" s="240"/>
      <c r="AE590" s="240"/>
      <c r="AF590" s="240"/>
      <c r="AG590" s="240"/>
      <c r="AH590" s="240"/>
      <c r="AI590" s="240"/>
      <c r="AJ590" s="240"/>
      <c r="AK590" s="240"/>
      <c r="AL590" s="240"/>
      <c r="AM590" s="240"/>
      <c r="AN590" s="240"/>
    </row>
    <row r="591" ht="15.75" customHeight="1">
      <c r="A591" s="145"/>
      <c r="B591" s="145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  <c r="AA591" s="240"/>
      <c r="AB591" s="240"/>
      <c r="AC591" s="240"/>
      <c r="AD591" s="240"/>
      <c r="AE591" s="240"/>
      <c r="AF591" s="240"/>
      <c r="AG591" s="240"/>
      <c r="AH591" s="240"/>
      <c r="AI591" s="240"/>
      <c r="AJ591" s="240"/>
      <c r="AK591" s="240"/>
      <c r="AL591" s="240"/>
      <c r="AM591" s="240"/>
      <c r="AN591" s="240"/>
    </row>
    <row r="592" ht="15.75" customHeight="1">
      <c r="A592" s="145"/>
      <c r="B592" s="145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  <c r="AA592" s="240"/>
      <c r="AB592" s="240"/>
      <c r="AC592" s="240"/>
      <c r="AD592" s="240"/>
      <c r="AE592" s="240"/>
      <c r="AF592" s="240"/>
      <c r="AG592" s="240"/>
      <c r="AH592" s="240"/>
      <c r="AI592" s="240"/>
      <c r="AJ592" s="240"/>
      <c r="AK592" s="240"/>
      <c r="AL592" s="240"/>
      <c r="AM592" s="240"/>
      <c r="AN592" s="240"/>
    </row>
    <row r="593" ht="15.75" customHeight="1">
      <c r="A593" s="145"/>
      <c r="B593" s="145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  <c r="AA593" s="240"/>
      <c r="AB593" s="240"/>
      <c r="AC593" s="240"/>
      <c r="AD593" s="240"/>
      <c r="AE593" s="240"/>
      <c r="AF593" s="240"/>
      <c r="AG593" s="240"/>
      <c r="AH593" s="240"/>
      <c r="AI593" s="240"/>
      <c r="AJ593" s="240"/>
      <c r="AK593" s="240"/>
      <c r="AL593" s="240"/>
      <c r="AM593" s="240"/>
      <c r="AN593" s="240"/>
    </row>
    <row r="594" ht="15.75" customHeight="1">
      <c r="A594" s="145"/>
      <c r="B594" s="145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  <c r="AA594" s="240"/>
      <c r="AB594" s="240"/>
      <c r="AC594" s="240"/>
      <c r="AD594" s="240"/>
      <c r="AE594" s="240"/>
      <c r="AF594" s="240"/>
      <c r="AG594" s="240"/>
      <c r="AH594" s="240"/>
      <c r="AI594" s="240"/>
      <c r="AJ594" s="240"/>
      <c r="AK594" s="240"/>
      <c r="AL594" s="240"/>
      <c r="AM594" s="240"/>
      <c r="AN594" s="240"/>
    </row>
    <row r="595" ht="15.75" customHeight="1">
      <c r="A595" s="145"/>
      <c r="B595" s="145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  <c r="AA595" s="240"/>
      <c r="AB595" s="240"/>
      <c r="AC595" s="240"/>
      <c r="AD595" s="240"/>
      <c r="AE595" s="240"/>
      <c r="AF595" s="240"/>
      <c r="AG595" s="240"/>
      <c r="AH595" s="240"/>
      <c r="AI595" s="240"/>
      <c r="AJ595" s="240"/>
      <c r="AK595" s="240"/>
      <c r="AL595" s="240"/>
      <c r="AM595" s="240"/>
      <c r="AN595" s="240"/>
    </row>
    <row r="596" ht="15.75" customHeight="1">
      <c r="A596" s="145"/>
      <c r="B596" s="145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  <c r="AA596" s="240"/>
      <c r="AB596" s="240"/>
      <c r="AC596" s="240"/>
      <c r="AD596" s="240"/>
      <c r="AE596" s="240"/>
      <c r="AF596" s="240"/>
      <c r="AG596" s="240"/>
      <c r="AH596" s="240"/>
      <c r="AI596" s="240"/>
      <c r="AJ596" s="240"/>
      <c r="AK596" s="240"/>
      <c r="AL596" s="240"/>
      <c r="AM596" s="240"/>
      <c r="AN596" s="240"/>
    </row>
    <row r="597" ht="15.75" customHeight="1">
      <c r="A597" s="145"/>
      <c r="B597" s="145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  <c r="AA597" s="240"/>
      <c r="AB597" s="240"/>
      <c r="AC597" s="240"/>
      <c r="AD597" s="240"/>
      <c r="AE597" s="240"/>
      <c r="AF597" s="240"/>
      <c r="AG597" s="240"/>
      <c r="AH597" s="240"/>
      <c r="AI597" s="240"/>
      <c r="AJ597" s="240"/>
      <c r="AK597" s="240"/>
      <c r="AL597" s="240"/>
      <c r="AM597" s="240"/>
      <c r="AN597" s="240"/>
    </row>
    <row r="598" ht="15.75" customHeight="1">
      <c r="A598" s="145"/>
      <c r="B598" s="145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  <c r="AA598" s="240"/>
      <c r="AB598" s="240"/>
      <c r="AC598" s="240"/>
      <c r="AD598" s="240"/>
      <c r="AE598" s="240"/>
      <c r="AF598" s="240"/>
      <c r="AG598" s="240"/>
      <c r="AH598" s="240"/>
      <c r="AI598" s="240"/>
      <c r="AJ598" s="240"/>
      <c r="AK598" s="240"/>
      <c r="AL598" s="240"/>
      <c r="AM598" s="240"/>
      <c r="AN598" s="240"/>
    </row>
    <row r="599" ht="15.75" customHeight="1">
      <c r="A599" s="145"/>
      <c r="B599" s="145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  <c r="AA599" s="240"/>
      <c r="AB599" s="240"/>
      <c r="AC599" s="240"/>
      <c r="AD599" s="240"/>
      <c r="AE599" s="240"/>
      <c r="AF599" s="240"/>
      <c r="AG599" s="240"/>
      <c r="AH599" s="240"/>
      <c r="AI599" s="240"/>
      <c r="AJ599" s="240"/>
      <c r="AK599" s="240"/>
      <c r="AL599" s="240"/>
      <c r="AM599" s="240"/>
      <c r="AN599" s="240"/>
    </row>
    <row r="600" ht="15.75" customHeight="1">
      <c r="A600" s="145"/>
      <c r="B600" s="145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  <c r="AA600" s="240"/>
      <c r="AB600" s="240"/>
      <c r="AC600" s="240"/>
      <c r="AD600" s="240"/>
      <c r="AE600" s="240"/>
      <c r="AF600" s="240"/>
      <c r="AG600" s="240"/>
      <c r="AH600" s="240"/>
      <c r="AI600" s="240"/>
      <c r="AJ600" s="240"/>
      <c r="AK600" s="240"/>
      <c r="AL600" s="240"/>
      <c r="AM600" s="240"/>
      <c r="AN600" s="240"/>
    </row>
    <row r="601" ht="15.75" customHeight="1">
      <c r="A601" s="145"/>
      <c r="B601" s="145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  <c r="AA601" s="240"/>
      <c r="AB601" s="240"/>
      <c r="AC601" s="240"/>
      <c r="AD601" s="240"/>
      <c r="AE601" s="240"/>
      <c r="AF601" s="240"/>
      <c r="AG601" s="240"/>
      <c r="AH601" s="240"/>
      <c r="AI601" s="240"/>
      <c r="AJ601" s="240"/>
      <c r="AK601" s="240"/>
      <c r="AL601" s="240"/>
      <c r="AM601" s="240"/>
      <c r="AN601" s="240"/>
    </row>
    <row r="602" ht="15.75" customHeight="1">
      <c r="A602" s="145"/>
      <c r="B602" s="145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  <c r="AA602" s="240"/>
      <c r="AB602" s="240"/>
      <c r="AC602" s="240"/>
      <c r="AD602" s="240"/>
      <c r="AE602" s="240"/>
      <c r="AF602" s="240"/>
      <c r="AG602" s="240"/>
      <c r="AH602" s="240"/>
      <c r="AI602" s="240"/>
      <c r="AJ602" s="240"/>
      <c r="AK602" s="240"/>
      <c r="AL602" s="240"/>
      <c r="AM602" s="240"/>
      <c r="AN602" s="240"/>
    </row>
    <row r="603" ht="15.75" customHeight="1">
      <c r="A603" s="145"/>
      <c r="B603" s="145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  <c r="AA603" s="240"/>
      <c r="AB603" s="240"/>
      <c r="AC603" s="240"/>
      <c r="AD603" s="240"/>
      <c r="AE603" s="240"/>
      <c r="AF603" s="240"/>
      <c r="AG603" s="240"/>
      <c r="AH603" s="240"/>
      <c r="AI603" s="240"/>
      <c r="AJ603" s="240"/>
      <c r="AK603" s="240"/>
      <c r="AL603" s="240"/>
      <c r="AM603" s="240"/>
      <c r="AN603" s="240"/>
    </row>
    <row r="604" ht="15.75" customHeight="1">
      <c r="A604" s="145"/>
      <c r="B604" s="145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  <c r="AA604" s="240"/>
      <c r="AB604" s="240"/>
      <c r="AC604" s="240"/>
      <c r="AD604" s="240"/>
      <c r="AE604" s="240"/>
      <c r="AF604" s="240"/>
      <c r="AG604" s="240"/>
      <c r="AH604" s="240"/>
      <c r="AI604" s="240"/>
      <c r="AJ604" s="240"/>
      <c r="AK604" s="240"/>
      <c r="AL604" s="240"/>
      <c r="AM604" s="240"/>
      <c r="AN604" s="240"/>
    </row>
    <row r="605" ht="15.75" customHeight="1">
      <c r="A605" s="145"/>
      <c r="B605" s="145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  <c r="AA605" s="240"/>
      <c r="AB605" s="240"/>
      <c r="AC605" s="240"/>
      <c r="AD605" s="240"/>
      <c r="AE605" s="240"/>
      <c r="AF605" s="240"/>
      <c r="AG605" s="240"/>
      <c r="AH605" s="240"/>
      <c r="AI605" s="240"/>
      <c r="AJ605" s="240"/>
      <c r="AK605" s="240"/>
      <c r="AL605" s="240"/>
      <c r="AM605" s="240"/>
      <c r="AN605" s="240"/>
    </row>
    <row r="606" ht="15.75" customHeight="1">
      <c r="A606" s="145"/>
      <c r="B606" s="145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  <c r="AA606" s="240"/>
      <c r="AB606" s="240"/>
      <c r="AC606" s="240"/>
      <c r="AD606" s="240"/>
      <c r="AE606" s="240"/>
      <c r="AF606" s="240"/>
      <c r="AG606" s="240"/>
      <c r="AH606" s="240"/>
      <c r="AI606" s="240"/>
      <c r="AJ606" s="240"/>
      <c r="AK606" s="240"/>
      <c r="AL606" s="240"/>
      <c r="AM606" s="240"/>
      <c r="AN606" s="240"/>
    </row>
    <row r="607" ht="15.75" customHeight="1">
      <c r="A607" s="145"/>
      <c r="B607" s="145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  <c r="AA607" s="240"/>
      <c r="AB607" s="240"/>
      <c r="AC607" s="240"/>
      <c r="AD607" s="240"/>
      <c r="AE607" s="240"/>
      <c r="AF607" s="240"/>
      <c r="AG607" s="240"/>
      <c r="AH607" s="240"/>
      <c r="AI607" s="240"/>
      <c r="AJ607" s="240"/>
      <c r="AK607" s="240"/>
      <c r="AL607" s="240"/>
      <c r="AM607" s="240"/>
      <c r="AN607" s="240"/>
    </row>
    <row r="608" ht="15.75" customHeight="1">
      <c r="A608" s="145"/>
      <c r="B608" s="145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  <c r="AA608" s="240"/>
      <c r="AB608" s="240"/>
      <c r="AC608" s="240"/>
      <c r="AD608" s="240"/>
      <c r="AE608" s="240"/>
      <c r="AF608" s="240"/>
      <c r="AG608" s="240"/>
      <c r="AH608" s="240"/>
      <c r="AI608" s="240"/>
      <c r="AJ608" s="240"/>
      <c r="AK608" s="240"/>
      <c r="AL608" s="240"/>
      <c r="AM608" s="240"/>
      <c r="AN608" s="240"/>
    </row>
    <row r="609" ht="15.75" customHeight="1">
      <c r="A609" s="145"/>
      <c r="B609" s="145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  <c r="AA609" s="240"/>
      <c r="AB609" s="240"/>
      <c r="AC609" s="240"/>
      <c r="AD609" s="240"/>
      <c r="AE609" s="240"/>
      <c r="AF609" s="240"/>
      <c r="AG609" s="240"/>
      <c r="AH609" s="240"/>
      <c r="AI609" s="240"/>
      <c r="AJ609" s="240"/>
      <c r="AK609" s="240"/>
      <c r="AL609" s="240"/>
      <c r="AM609" s="240"/>
      <c r="AN609" s="240"/>
    </row>
    <row r="610" ht="15.75" customHeight="1">
      <c r="A610" s="145"/>
      <c r="B610" s="145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  <c r="AA610" s="240"/>
      <c r="AB610" s="240"/>
      <c r="AC610" s="240"/>
      <c r="AD610" s="240"/>
      <c r="AE610" s="240"/>
      <c r="AF610" s="240"/>
      <c r="AG610" s="240"/>
      <c r="AH610" s="240"/>
      <c r="AI610" s="240"/>
      <c r="AJ610" s="240"/>
      <c r="AK610" s="240"/>
      <c r="AL610" s="240"/>
      <c r="AM610" s="240"/>
      <c r="AN610" s="240"/>
    </row>
    <row r="611" ht="15.75" customHeight="1">
      <c r="A611" s="145"/>
      <c r="B611" s="145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  <c r="AA611" s="240"/>
      <c r="AB611" s="240"/>
      <c r="AC611" s="240"/>
      <c r="AD611" s="240"/>
      <c r="AE611" s="240"/>
      <c r="AF611" s="240"/>
      <c r="AG611" s="240"/>
      <c r="AH611" s="240"/>
      <c r="AI611" s="240"/>
      <c r="AJ611" s="240"/>
      <c r="AK611" s="240"/>
      <c r="AL611" s="240"/>
      <c r="AM611" s="240"/>
      <c r="AN611" s="240"/>
    </row>
    <row r="612" ht="15.75" customHeight="1">
      <c r="A612" s="145"/>
      <c r="B612" s="145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  <c r="AA612" s="240"/>
      <c r="AB612" s="240"/>
      <c r="AC612" s="240"/>
      <c r="AD612" s="240"/>
      <c r="AE612" s="240"/>
      <c r="AF612" s="240"/>
      <c r="AG612" s="240"/>
      <c r="AH612" s="240"/>
      <c r="AI612" s="240"/>
      <c r="AJ612" s="240"/>
      <c r="AK612" s="240"/>
      <c r="AL612" s="240"/>
      <c r="AM612" s="240"/>
      <c r="AN612" s="240"/>
    </row>
    <row r="613" ht="15.75" customHeight="1">
      <c r="A613" s="145"/>
      <c r="B613" s="145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  <c r="AA613" s="240"/>
      <c r="AB613" s="240"/>
      <c r="AC613" s="240"/>
      <c r="AD613" s="240"/>
      <c r="AE613" s="240"/>
      <c r="AF613" s="240"/>
      <c r="AG613" s="240"/>
      <c r="AH613" s="240"/>
      <c r="AI613" s="240"/>
      <c r="AJ613" s="240"/>
      <c r="AK613" s="240"/>
      <c r="AL613" s="240"/>
      <c r="AM613" s="240"/>
      <c r="AN613" s="240"/>
    </row>
    <row r="614" ht="15.75" customHeight="1">
      <c r="A614" s="145"/>
      <c r="B614" s="145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  <c r="AA614" s="240"/>
      <c r="AB614" s="240"/>
      <c r="AC614" s="240"/>
      <c r="AD614" s="240"/>
      <c r="AE614" s="240"/>
      <c r="AF614" s="240"/>
      <c r="AG614" s="240"/>
      <c r="AH614" s="240"/>
      <c r="AI614" s="240"/>
      <c r="AJ614" s="240"/>
      <c r="AK614" s="240"/>
      <c r="AL614" s="240"/>
      <c r="AM614" s="240"/>
      <c r="AN614" s="240"/>
    </row>
    <row r="615" ht="15.75" customHeight="1">
      <c r="A615" s="145"/>
      <c r="B615" s="145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  <c r="AA615" s="240"/>
      <c r="AB615" s="240"/>
      <c r="AC615" s="240"/>
      <c r="AD615" s="240"/>
      <c r="AE615" s="240"/>
      <c r="AF615" s="240"/>
      <c r="AG615" s="240"/>
      <c r="AH615" s="240"/>
      <c r="AI615" s="240"/>
      <c r="AJ615" s="240"/>
      <c r="AK615" s="240"/>
      <c r="AL615" s="240"/>
      <c r="AM615" s="240"/>
      <c r="AN615" s="240"/>
    </row>
    <row r="616" ht="15.75" customHeight="1">
      <c r="A616" s="145"/>
      <c r="B616" s="145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  <c r="AA616" s="240"/>
      <c r="AB616" s="240"/>
      <c r="AC616" s="240"/>
      <c r="AD616" s="240"/>
      <c r="AE616" s="240"/>
      <c r="AF616" s="240"/>
      <c r="AG616" s="240"/>
      <c r="AH616" s="240"/>
      <c r="AI616" s="240"/>
      <c r="AJ616" s="240"/>
      <c r="AK616" s="240"/>
      <c r="AL616" s="240"/>
      <c r="AM616" s="240"/>
      <c r="AN616" s="240"/>
    </row>
    <row r="617" ht="15.75" customHeight="1">
      <c r="A617" s="145"/>
      <c r="B617" s="145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  <c r="AA617" s="240"/>
      <c r="AB617" s="240"/>
      <c r="AC617" s="240"/>
      <c r="AD617" s="240"/>
      <c r="AE617" s="240"/>
      <c r="AF617" s="240"/>
      <c r="AG617" s="240"/>
      <c r="AH617" s="240"/>
      <c r="AI617" s="240"/>
      <c r="AJ617" s="240"/>
      <c r="AK617" s="240"/>
      <c r="AL617" s="240"/>
      <c r="AM617" s="240"/>
      <c r="AN617" s="240"/>
    </row>
    <row r="618" ht="15.75" customHeight="1">
      <c r="A618" s="145"/>
      <c r="B618" s="145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  <c r="AA618" s="240"/>
      <c r="AB618" s="240"/>
      <c r="AC618" s="240"/>
      <c r="AD618" s="240"/>
      <c r="AE618" s="240"/>
      <c r="AF618" s="240"/>
      <c r="AG618" s="240"/>
      <c r="AH618" s="240"/>
      <c r="AI618" s="240"/>
      <c r="AJ618" s="240"/>
      <c r="AK618" s="240"/>
      <c r="AL618" s="240"/>
      <c r="AM618" s="240"/>
      <c r="AN618" s="240"/>
    </row>
    <row r="619" ht="15.75" customHeight="1">
      <c r="A619" s="145"/>
      <c r="B619" s="145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  <c r="AA619" s="240"/>
      <c r="AB619" s="240"/>
      <c r="AC619" s="240"/>
      <c r="AD619" s="240"/>
      <c r="AE619" s="240"/>
      <c r="AF619" s="240"/>
      <c r="AG619" s="240"/>
      <c r="AH619" s="240"/>
      <c r="AI619" s="240"/>
      <c r="AJ619" s="240"/>
      <c r="AK619" s="240"/>
      <c r="AL619" s="240"/>
      <c r="AM619" s="240"/>
      <c r="AN619" s="240"/>
    </row>
    <row r="620" ht="15.75" customHeight="1">
      <c r="A620" s="145"/>
      <c r="B620" s="145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  <c r="AA620" s="240"/>
      <c r="AB620" s="240"/>
      <c r="AC620" s="240"/>
      <c r="AD620" s="240"/>
      <c r="AE620" s="240"/>
      <c r="AF620" s="240"/>
      <c r="AG620" s="240"/>
      <c r="AH620" s="240"/>
      <c r="AI620" s="240"/>
      <c r="AJ620" s="240"/>
      <c r="AK620" s="240"/>
      <c r="AL620" s="240"/>
      <c r="AM620" s="240"/>
      <c r="AN620" s="240"/>
    </row>
    <row r="621" ht="15.75" customHeight="1">
      <c r="A621" s="145"/>
      <c r="B621" s="145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  <c r="AA621" s="240"/>
      <c r="AB621" s="240"/>
      <c r="AC621" s="240"/>
      <c r="AD621" s="240"/>
      <c r="AE621" s="240"/>
      <c r="AF621" s="240"/>
      <c r="AG621" s="240"/>
      <c r="AH621" s="240"/>
      <c r="AI621" s="240"/>
      <c r="AJ621" s="240"/>
      <c r="AK621" s="240"/>
      <c r="AL621" s="240"/>
      <c r="AM621" s="240"/>
      <c r="AN621" s="240"/>
    </row>
    <row r="622" ht="15.75" customHeight="1">
      <c r="A622" s="145"/>
      <c r="B622" s="145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  <c r="AA622" s="240"/>
      <c r="AB622" s="240"/>
      <c r="AC622" s="240"/>
      <c r="AD622" s="240"/>
      <c r="AE622" s="240"/>
      <c r="AF622" s="240"/>
      <c r="AG622" s="240"/>
      <c r="AH622" s="240"/>
      <c r="AI622" s="240"/>
      <c r="AJ622" s="240"/>
      <c r="AK622" s="240"/>
      <c r="AL622" s="240"/>
      <c r="AM622" s="240"/>
      <c r="AN622" s="240"/>
    </row>
    <row r="623" ht="15.75" customHeight="1">
      <c r="A623" s="145"/>
      <c r="B623" s="145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  <c r="AA623" s="240"/>
      <c r="AB623" s="240"/>
      <c r="AC623" s="240"/>
      <c r="AD623" s="240"/>
      <c r="AE623" s="240"/>
      <c r="AF623" s="240"/>
      <c r="AG623" s="240"/>
      <c r="AH623" s="240"/>
      <c r="AI623" s="240"/>
      <c r="AJ623" s="240"/>
      <c r="AK623" s="240"/>
      <c r="AL623" s="240"/>
      <c r="AM623" s="240"/>
      <c r="AN623" s="240"/>
    </row>
    <row r="624" ht="15.75" customHeight="1">
      <c r="A624" s="145"/>
      <c r="B624" s="145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  <c r="AA624" s="240"/>
      <c r="AB624" s="240"/>
      <c r="AC624" s="240"/>
      <c r="AD624" s="240"/>
      <c r="AE624" s="240"/>
      <c r="AF624" s="240"/>
      <c r="AG624" s="240"/>
      <c r="AH624" s="240"/>
      <c r="AI624" s="240"/>
      <c r="AJ624" s="240"/>
      <c r="AK624" s="240"/>
      <c r="AL624" s="240"/>
      <c r="AM624" s="240"/>
      <c r="AN624" s="240"/>
    </row>
    <row r="625" ht="15.75" customHeight="1">
      <c r="A625" s="145"/>
      <c r="B625" s="145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  <c r="AA625" s="240"/>
      <c r="AB625" s="240"/>
      <c r="AC625" s="240"/>
      <c r="AD625" s="240"/>
      <c r="AE625" s="240"/>
      <c r="AF625" s="240"/>
      <c r="AG625" s="240"/>
      <c r="AH625" s="240"/>
      <c r="AI625" s="240"/>
      <c r="AJ625" s="240"/>
      <c r="AK625" s="240"/>
      <c r="AL625" s="240"/>
      <c r="AM625" s="240"/>
      <c r="AN625" s="240"/>
    </row>
    <row r="626" ht="15.75" customHeight="1">
      <c r="A626" s="145"/>
      <c r="B626" s="145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  <c r="AA626" s="240"/>
      <c r="AB626" s="240"/>
      <c r="AC626" s="240"/>
      <c r="AD626" s="240"/>
      <c r="AE626" s="240"/>
      <c r="AF626" s="240"/>
      <c r="AG626" s="240"/>
      <c r="AH626" s="240"/>
      <c r="AI626" s="240"/>
      <c r="AJ626" s="240"/>
      <c r="AK626" s="240"/>
      <c r="AL626" s="240"/>
      <c r="AM626" s="240"/>
      <c r="AN626" s="240"/>
    </row>
    <row r="627" ht="15.75" customHeight="1">
      <c r="A627" s="145"/>
      <c r="B627" s="145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  <c r="AA627" s="240"/>
      <c r="AB627" s="240"/>
      <c r="AC627" s="240"/>
      <c r="AD627" s="240"/>
      <c r="AE627" s="240"/>
      <c r="AF627" s="240"/>
      <c r="AG627" s="240"/>
      <c r="AH627" s="240"/>
      <c r="AI627" s="240"/>
      <c r="AJ627" s="240"/>
      <c r="AK627" s="240"/>
      <c r="AL627" s="240"/>
      <c r="AM627" s="240"/>
      <c r="AN627" s="240"/>
    </row>
    <row r="628" ht="15.75" customHeight="1">
      <c r="A628" s="145"/>
      <c r="B628" s="145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  <c r="AB628" s="240"/>
      <c r="AC628" s="240"/>
      <c r="AD628" s="240"/>
      <c r="AE628" s="240"/>
      <c r="AF628" s="240"/>
      <c r="AG628" s="240"/>
      <c r="AH628" s="240"/>
      <c r="AI628" s="240"/>
      <c r="AJ628" s="240"/>
      <c r="AK628" s="240"/>
      <c r="AL628" s="240"/>
      <c r="AM628" s="240"/>
      <c r="AN628" s="240"/>
    </row>
    <row r="629" ht="15.75" customHeight="1">
      <c r="A629" s="145"/>
      <c r="B629" s="145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  <c r="AB629" s="240"/>
      <c r="AC629" s="240"/>
      <c r="AD629" s="240"/>
      <c r="AE629" s="240"/>
      <c r="AF629" s="240"/>
      <c r="AG629" s="240"/>
      <c r="AH629" s="240"/>
      <c r="AI629" s="240"/>
      <c r="AJ629" s="240"/>
      <c r="AK629" s="240"/>
      <c r="AL629" s="240"/>
      <c r="AM629" s="240"/>
      <c r="AN629" s="240"/>
    </row>
    <row r="630" ht="15.75" customHeight="1">
      <c r="A630" s="145"/>
      <c r="B630" s="145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  <c r="AA630" s="240"/>
      <c r="AB630" s="240"/>
      <c r="AC630" s="240"/>
      <c r="AD630" s="240"/>
      <c r="AE630" s="240"/>
      <c r="AF630" s="240"/>
      <c r="AG630" s="240"/>
      <c r="AH630" s="240"/>
      <c r="AI630" s="240"/>
      <c r="AJ630" s="240"/>
      <c r="AK630" s="240"/>
      <c r="AL630" s="240"/>
      <c r="AM630" s="240"/>
      <c r="AN630" s="240"/>
    </row>
    <row r="631" ht="15.75" customHeight="1">
      <c r="A631" s="145"/>
      <c r="B631" s="145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  <c r="AA631" s="240"/>
      <c r="AB631" s="240"/>
      <c r="AC631" s="240"/>
      <c r="AD631" s="240"/>
      <c r="AE631" s="240"/>
      <c r="AF631" s="240"/>
      <c r="AG631" s="240"/>
      <c r="AH631" s="240"/>
      <c r="AI631" s="240"/>
      <c r="AJ631" s="240"/>
      <c r="AK631" s="240"/>
      <c r="AL631" s="240"/>
      <c r="AM631" s="240"/>
      <c r="AN631" s="240"/>
    </row>
    <row r="632" ht="15.75" customHeight="1">
      <c r="A632" s="145"/>
      <c r="B632" s="145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  <c r="AA632" s="240"/>
      <c r="AB632" s="240"/>
      <c r="AC632" s="240"/>
      <c r="AD632" s="240"/>
      <c r="AE632" s="240"/>
      <c r="AF632" s="240"/>
      <c r="AG632" s="240"/>
      <c r="AH632" s="240"/>
      <c r="AI632" s="240"/>
      <c r="AJ632" s="240"/>
      <c r="AK632" s="240"/>
      <c r="AL632" s="240"/>
      <c r="AM632" s="240"/>
      <c r="AN632" s="240"/>
    </row>
    <row r="633" ht="15.75" customHeight="1">
      <c r="A633" s="145"/>
      <c r="B633" s="145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  <c r="AA633" s="240"/>
      <c r="AB633" s="240"/>
      <c r="AC633" s="240"/>
      <c r="AD633" s="240"/>
      <c r="AE633" s="240"/>
      <c r="AF633" s="240"/>
      <c r="AG633" s="240"/>
      <c r="AH633" s="240"/>
      <c r="AI633" s="240"/>
      <c r="AJ633" s="240"/>
      <c r="AK633" s="240"/>
      <c r="AL633" s="240"/>
      <c r="AM633" s="240"/>
      <c r="AN633" s="240"/>
    </row>
    <row r="634" ht="15.75" customHeight="1">
      <c r="A634" s="145"/>
      <c r="B634" s="145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  <c r="AA634" s="240"/>
      <c r="AB634" s="240"/>
      <c r="AC634" s="240"/>
      <c r="AD634" s="240"/>
      <c r="AE634" s="240"/>
      <c r="AF634" s="240"/>
      <c r="AG634" s="240"/>
      <c r="AH634" s="240"/>
      <c r="AI634" s="240"/>
      <c r="AJ634" s="240"/>
      <c r="AK634" s="240"/>
      <c r="AL634" s="240"/>
      <c r="AM634" s="240"/>
      <c r="AN634" s="240"/>
    </row>
    <row r="635" ht="15.75" customHeight="1">
      <c r="A635" s="145"/>
      <c r="B635" s="145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  <c r="AA635" s="240"/>
      <c r="AB635" s="240"/>
      <c r="AC635" s="240"/>
      <c r="AD635" s="240"/>
      <c r="AE635" s="240"/>
      <c r="AF635" s="240"/>
      <c r="AG635" s="240"/>
      <c r="AH635" s="240"/>
      <c r="AI635" s="240"/>
      <c r="AJ635" s="240"/>
      <c r="AK635" s="240"/>
      <c r="AL635" s="240"/>
      <c r="AM635" s="240"/>
      <c r="AN635" s="240"/>
    </row>
    <row r="636" ht="15.75" customHeight="1">
      <c r="A636" s="145"/>
      <c r="B636" s="145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  <c r="AA636" s="240"/>
      <c r="AB636" s="240"/>
      <c r="AC636" s="240"/>
      <c r="AD636" s="240"/>
      <c r="AE636" s="240"/>
      <c r="AF636" s="240"/>
      <c r="AG636" s="240"/>
      <c r="AH636" s="240"/>
      <c r="AI636" s="240"/>
      <c r="AJ636" s="240"/>
      <c r="AK636" s="240"/>
      <c r="AL636" s="240"/>
      <c r="AM636" s="240"/>
      <c r="AN636" s="240"/>
    </row>
    <row r="637" ht="15.75" customHeight="1">
      <c r="A637" s="145"/>
      <c r="B637" s="145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  <c r="AA637" s="240"/>
      <c r="AB637" s="240"/>
      <c r="AC637" s="240"/>
      <c r="AD637" s="240"/>
      <c r="AE637" s="240"/>
      <c r="AF637" s="240"/>
      <c r="AG637" s="240"/>
      <c r="AH637" s="240"/>
      <c r="AI637" s="240"/>
      <c r="AJ637" s="240"/>
      <c r="AK637" s="240"/>
      <c r="AL637" s="240"/>
      <c r="AM637" s="240"/>
      <c r="AN637" s="240"/>
    </row>
    <row r="638" ht="15.75" customHeight="1">
      <c r="A638" s="145"/>
      <c r="B638" s="145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  <c r="AA638" s="240"/>
      <c r="AB638" s="240"/>
      <c r="AC638" s="240"/>
      <c r="AD638" s="240"/>
      <c r="AE638" s="240"/>
      <c r="AF638" s="240"/>
      <c r="AG638" s="240"/>
      <c r="AH638" s="240"/>
      <c r="AI638" s="240"/>
      <c r="AJ638" s="240"/>
      <c r="AK638" s="240"/>
      <c r="AL638" s="240"/>
      <c r="AM638" s="240"/>
      <c r="AN638" s="240"/>
    </row>
    <row r="639" ht="15.75" customHeight="1">
      <c r="A639" s="145"/>
      <c r="B639" s="145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  <c r="AA639" s="240"/>
      <c r="AB639" s="240"/>
      <c r="AC639" s="240"/>
      <c r="AD639" s="240"/>
      <c r="AE639" s="240"/>
      <c r="AF639" s="240"/>
      <c r="AG639" s="240"/>
      <c r="AH639" s="240"/>
      <c r="AI639" s="240"/>
      <c r="AJ639" s="240"/>
      <c r="AK639" s="240"/>
      <c r="AL639" s="240"/>
      <c r="AM639" s="240"/>
      <c r="AN639" s="240"/>
    </row>
    <row r="640" ht="15.75" customHeight="1">
      <c r="A640" s="145"/>
      <c r="B640" s="145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  <c r="AA640" s="240"/>
      <c r="AB640" s="240"/>
      <c r="AC640" s="240"/>
      <c r="AD640" s="240"/>
      <c r="AE640" s="240"/>
      <c r="AF640" s="240"/>
      <c r="AG640" s="240"/>
      <c r="AH640" s="240"/>
      <c r="AI640" s="240"/>
      <c r="AJ640" s="240"/>
      <c r="AK640" s="240"/>
      <c r="AL640" s="240"/>
      <c r="AM640" s="240"/>
      <c r="AN640" s="240"/>
    </row>
    <row r="641" ht="15.75" customHeight="1">
      <c r="A641" s="145"/>
      <c r="B641" s="145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  <c r="AA641" s="240"/>
      <c r="AB641" s="240"/>
      <c r="AC641" s="240"/>
      <c r="AD641" s="240"/>
      <c r="AE641" s="240"/>
      <c r="AF641" s="240"/>
      <c r="AG641" s="240"/>
      <c r="AH641" s="240"/>
      <c r="AI641" s="240"/>
      <c r="AJ641" s="240"/>
      <c r="AK641" s="240"/>
      <c r="AL641" s="240"/>
      <c r="AM641" s="240"/>
      <c r="AN641" s="240"/>
    </row>
    <row r="642" ht="15.75" customHeight="1">
      <c r="A642" s="145"/>
      <c r="B642" s="145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  <c r="AA642" s="240"/>
      <c r="AB642" s="240"/>
      <c r="AC642" s="240"/>
      <c r="AD642" s="240"/>
      <c r="AE642" s="240"/>
      <c r="AF642" s="240"/>
      <c r="AG642" s="240"/>
      <c r="AH642" s="240"/>
      <c r="AI642" s="240"/>
      <c r="AJ642" s="240"/>
      <c r="AK642" s="240"/>
      <c r="AL642" s="240"/>
      <c r="AM642" s="240"/>
      <c r="AN642" s="240"/>
    </row>
    <row r="643" ht="15.75" customHeight="1">
      <c r="A643" s="145"/>
      <c r="B643" s="145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  <c r="AA643" s="240"/>
      <c r="AB643" s="240"/>
      <c r="AC643" s="240"/>
      <c r="AD643" s="240"/>
      <c r="AE643" s="240"/>
      <c r="AF643" s="240"/>
      <c r="AG643" s="240"/>
      <c r="AH643" s="240"/>
      <c r="AI643" s="240"/>
      <c r="AJ643" s="240"/>
      <c r="AK643" s="240"/>
      <c r="AL643" s="240"/>
      <c r="AM643" s="240"/>
      <c r="AN643" s="240"/>
    </row>
    <row r="644" ht="15.75" customHeight="1">
      <c r="A644" s="145"/>
      <c r="B644" s="145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  <c r="AA644" s="240"/>
      <c r="AB644" s="240"/>
      <c r="AC644" s="240"/>
      <c r="AD644" s="240"/>
      <c r="AE644" s="240"/>
      <c r="AF644" s="240"/>
      <c r="AG644" s="240"/>
      <c r="AH644" s="240"/>
      <c r="AI644" s="240"/>
      <c r="AJ644" s="240"/>
      <c r="AK644" s="240"/>
      <c r="AL644" s="240"/>
      <c r="AM644" s="240"/>
      <c r="AN644" s="240"/>
    </row>
    <row r="645" ht="15.75" customHeight="1">
      <c r="A645" s="145"/>
      <c r="B645" s="145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  <c r="AA645" s="240"/>
      <c r="AB645" s="240"/>
      <c r="AC645" s="240"/>
      <c r="AD645" s="240"/>
      <c r="AE645" s="240"/>
      <c r="AF645" s="240"/>
      <c r="AG645" s="240"/>
      <c r="AH645" s="240"/>
      <c r="AI645" s="240"/>
      <c r="AJ645" s="240"/>
      <c r="AK645" s="240"/>
      <c r="AL645" s="240"/>
      <c r="AM645" s="240"/>
      <c r="AN645" s="240"/>
    </row>
    <row r="646" ht="15.75" customHeight="1">
      <c r="A646" s="145"/>
      <c r="B646" s="145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  <c r="AA646" s="240"/>
      <c r="AB646" s="240"/>
      <c r="AC646" s="240"/>
      <c r="AD646" s="240"/>
      <c r="AE646" s="240"/>
      <c r="AF646" s="240"/>
      <c r="AG646" s="240"/>
      <c r="AH646" s="240"/>
      <c r="AI646" s="240"/>
      <c r="AJ646" s="240"/>
      <c r="AK646" s="240"/>
      <c r="AL646" s="240"/>
      <c r="AM646" s="240"/>
      <c r="AN646" s="240"/>
    </row>
    <row r="647" ht="15.75" customHeight="1">
      <c r="A647" s="145"/>
      <c r="B647" s="145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  <c r="AA647" s="240"/>
      <c r="AB647" s="240"/>
      <c r="AC647" s="240"/>
      <c r="AD647" s="240"/>
      <c r="AE647" s="240"/>
      <c r="AF647" s="240"/>
      <c r="AG647" s="240"/>
      <c r="AH647" s="240"/>
      <c r="AI647" s="240"/>
      <c r="AJ647" s="240"/>
      <c r="AK647" s="240"/>
      <c r="AL647" s="240"/>
      <c r="AM647" s="240"/>
      <c r="AN647" s="240"/>
    </row>
    <row r="648" ht="15.75" customHeight="1">
      <c r="A648" s="145"/>
      <c r="B648" s="145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  <c r="AA648" s="240"/>
      <c r="AB648" s="240"/>
      <c r="AC648" s="240"/>
      <c r="AD648" s="240"/>
      <c r="AE648" s="240"/>
      <c r="AF648" s="240"/>
      <c r="AG648" s="240"/>
      <c r="AH648" s="240"/>
      <c r="AI648" s="240"/>
      <c r="AJ648" s="240"/>
      <c r="AK648" s="240"/>
      <c r="AL648" s="240"/>
      <c r="AM648" s="240"/>
      <c r="AN648" s="240"/>
    </row>
    <row r="649" ht="15.75" customHeight="1">
      <c r="A649" s="145"/>
      <c r="B649" s="145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  <c r="AA649" s="240"/>
      <c r="AB649" s="240"/>
      <c r="AC649" s="240"/>
      <c r="AD649" s="240"/>
      <c r="AE649" s="240"/>
      <c r="AF649" s="240"/>
      <c r="AG649" s="240"/>
      <c r="AH649" s="240"/>
      <c r="AI649" s="240"/>
      <c r="AJ649" s="240"/>
      <c r="AK649" s="240"/>
      <c r="AL649" s="240"/>
      <c r="AM649" s="240"/>
      <c r="AN649" s="240"/>
    </row>
    <row r="650" ht="15.75" customHeight="1">
      <c r="A650" s="145"/>
      <c r="B650" s="145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  <c r="AA650" s="240"/>
      <c r="AB650" s="240"/>
      <c r="AC650" s="240"/>
      <c r="AD650" s="240"/>
      <c r="AE650" s="240"/>
      <c r="AF650" s="240"/>
      <c r="AG650" s="240"/>
      <c r="AH650" s="240"/>
      <c r="AI650" s="240"/>
      <c r="AJ650" s="240"/>
      <c r="AK650" s="240"/>
      <c r="AL650" s="240"/>
      <c r="AM650" s="240"/>
      <c r="AN650" s="240"/>
    </row>
    <row r="651" ht="15.75" customHeight="1">
      <c r="A651" s="145"/>
      <c r="B651" s="145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  <c r="AA651" s="240"/>
      <c r="AB651" s="240"/>
      <c r="AC651" s="240"/>
      <c r="AD651" s="240"/>
      <c r="AE651" s="240"/>
      <c r="AF651" s="240"/>
      <c r="AG651" s="240"/>
      <c r="AH651" s="240"/>
      <c r="AI651" s="240"/>
      <c r="AJ651" s="240"/>
      <c r="AK651" s="240"/>
      <c r="AL651" s="240"/>
      <c r="AM651" s="240"/>
      <c r="AN651" s="240"/>
    </row>
    <row r="652" ht="15.75" customHeight="1">
      <c r="A652" s="145"/>
      <c r="B652" s="145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  <c r="AA652" s="240"/>
      <c r="AB652" s="240"/>
      <c r="AC652" s="240"/>
      <c r="AD652" s="240"/>
      <c r="AE652" s="240"/>
      <c r="AF652" s="240"/>
      <c r="AG652" s="240"/>
      <c r="AH652" s="240"/>
      <c r="AI652" s="240"/>
      <c r="AJ652" s="240"/>
      <c r="AK652" s="240"/>
      <c r="AL652" s="240"/>
      <c r="AM652" s="240"/>
      <c r="AN652" s="240"/>
    </row>
    <row r="653" ht="15.75" customHeight="1">
      <c r="A653" s="145"/>
      <c r="B653" s="145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  <c r="AA653" s="240"/>
      <c r="AB653" s="240"/>
      <c r="AC653" s="240"/>
      <c r="AD653" s="240"/>
      <c r="AE653" s="240"/>
      <c r="AF653" s="240"/>
      <c r="AG653" s="240"/>
      <c r="AH653" s="240"/>
      <c r="AI653" s="240"/>
      <c r="AJ653" s="240"/>
      <c r="AK653" s="240"/>
      <c r="AL653" s="240"/>
      <c r="AM653" s="240"/>
      <c r="AN653" s="240"/>
    </row>
    <row r="654" ht="15.75" customHeight="1">
      <c r="A654" s="145"/>
      <c r="B654" s="145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  <c r="AA654" s="240"/>
      <c r="AB654" s="240"/>
      <c r="AC654" s="240"/>
      <c r="AD654" s="240"/>
      <c r="AE654" s="240"/>
      <c r="AF654" s="240"/>
      <c r="AG654" s="240"/>
      <c r="AH654" s="240"/>
      <c r="AI654" s="240"/>
      <c r="AJ654" s="240"/>
      <c r="AK654" s="240"/>
      <c r="AL654" s="240"/>
      <c r="AM654" s="240"/>
      <c r="AN654" s="240"/>
    </row>
    <row r="655" ht="15.75" customHeight="1">
      <c r="A655" s="145"/>
      <c r="B655" s="145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  <c r="AA655" s="240"/>
      <c r="AB655" s="240"/>
      <c r="AC655" s="240"/>
      <c r="AD655" s="240"/>
      <c r="AE655" s="240"/>
      <c r="AF655" s="240"/>
      <c r="AG655" s="240"/>
      <c r="AH655" s="240"/>
      <c r="AI655" s="240"/>
      <c r="AJ655" s="240"/>
      <c r="AK655" s="240"/>
      <c r="AL655" s="240"/>
      <c r="AM655" s="240"/>
      <c r="AN655" s="240"/>
    </row>
    <row r="656" ht="15.75" customHeight="1">
      <c r="A656" s="145"/>
      <c r="B656" s="145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  <c r="AA656" s="240"/>
      <c r="AB656" s="240"/>
      <c r="AC656" s="240"/>
      <c r="AD656" s="240"/>
      <c r="AE656" s="240"/>
      <c r="AF656" s="240"/>
      <c r="AG656" s="240"/>
      <c r="AH656" s="240"/>
      <c r="AI656" s="240"/>
      <c r="AJ656" s="240"/>
      <c r="AK656" s="240"/>
      <c r="AL656" s="240"/>
      <c r="AM656" s="240"/>
      <c r="AN656" s="240"/>
    </row>
    <row r="657" ht="15.75" customHeight="1">
      <c r="A657" s="145"/>
      <c r="B657" s="145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  <c r="AA657" s="240"/>
      <c r="AB657" s="240"/>
      <c r="AC657" s="240"/>
      <c r="AD657" s="240"/>
      <c r="AE657" s="240"/>
      <c r="AF657" s="240"/>
      <c r="AG657" s="240"/>
      <c r="AH657" s="240"/>
      <c r="AI657" s="240"/>
      <c r="AJ657" s="240"/>
      <c r="AK657" s="240"/>
      <c r="AL657" s="240"/>
      <c r="AM657" s="240"/>
      <c r="AN657" s="240"/>
    </row>
    <row r="658" ht="15.75" customHeight="1">
      <c r="A658" s="145"/>
      <c r="B658" s="145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  <c r="AA658" s="240"/>
      <c r="AB658" s="240"/>
      <c r="AC658" s="240"/>
      <c r="AD658" s="240"/>
      <c r="AE658" s="240"/>
      <c r="AF658" s="240"/>
      <c r="AG658" s="240"/>
      <c r="AH658" s="240"/>
      <c r="AI658" s="240"/>
      <c r="AJ658" s="240"/>
      <c r="AK658" s="240"/>
      <c r="AL658" s="240"/>
      <c r="AM658" s="240"/>
      <c r="AN658" s="240"/>
    </row>
    <row r="659" ht="15.75" customHeight="1">
      <c r="A659" s="145"/>
      <c r="B659" s="145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  <c r="AA659" s="240"/>
      <c r="AB659" s="240"/>
      <c r="AC659" s="240"/>
      <c r="AD659" s="240"/>
      <c r="AE659" s="240"/>
      <c r="AF659" s="240"/>
      <c r="AG659" s="240"/>
      <c r="AH659" s="240"/>
      <c r="AI659" s="240"/>
      <c r="AJ659" s="240"/>
      <c r="AK659" s="240"/>
      <c r="AL659" s="240"/>
      <c r="AM659" s="240"/>
      <c r="AN659" s="240"/>
    </row>
    <row r="660" ht="15.75" customHeight="1">
      <c r="A660" s="145"/>
      <c r="B660" s="145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  <c r="AA660" s="240"/>
      <c r="AB660" s="240"/>
      <c r="AC660" s="240"/>
      <c r="AD660" s="240"/>
      <c r="AE660" s="240"/>
      <c r="AF660" s="240"/>
      <c r="AG660" s="240"/>
      <c r="AH660" s="240"/>
      <c r="AI660" s="240"/>
      <c r="AJ660" s="240"/>
      <c r="AK660" s="240"/>
      <c r="AL660" s="240"/>
      <c r="AM660" s="240"/>
      <c r="AN660" s="240"/>
    </row>
    <row r="661" ht="15.75" customHeight="1">
      <c r="A661" s="145"/>
      <c r="B661" s="145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  <c r="AA661" s="240"/>
      <c r="AB661" s="240"/>
      <c r="AC661" s="240"/>
      <c r="AD661" s="240"/>
      <c r="AE661" s="240"/>
      <c r="AF661" s="240"/>
      <c r="AG661" s="240"/>
      <c r="AH661" s="240"/>
      <c r="AI661" s="240"/>
      <c r="AJ661" s="240"/>
      <c r="AK661" s="240"/>
      <c r="AL661" s="240"/>
      <c r="AM661" s="240"/>
      <c r="AN661" s="240"/>
    </row>
    <row r="662" ht="15.75" customHeight="1">
      <c r="A662" s="145"/>
      <c r="B662" s="145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  <c r="AA662" s="240"/>
      <c r="AB662" s="240"/>
      <c r="AC662" s="240"/>
      <c r="AD662" s="240"/>
      <c r="AE662" s="240"/>
      <c r="AF662" s="240"/>
      <c r="AG662" s="240"/>
      <c r="AH662" s="240"/>
      <c r="AI662" s="240"/>
      <c r="AJ662" s="240"/>
      <c r="AK662" s="240"/>
      <c r="AL662" s="240"/>
      <c r="AM662" s="240"/>
      <c r="AN662" s="240"/>
    </row>
    <row r="663" ht="15.75" customHeight="1">
      <c r="A663" s="145"/>
      <c r="B663" s="145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  <c r="AA663" s="240"/>
      <c r="AB663" s="240"/>
      <c r="AC663" s="240"/>
      <c r="AD663" s="240"/>
      <c r="AE663" s="240"/>
      <c r="AF663" s="240"/>
      <c r="AG663" s="240"/>
      <c r="AH663" s="240"/>
      <c r="AI663" s="240"/>
      <c r="AJ663" s="240"/>
      <c r="AK663" s="240"/>
      <c r="AL663" s="240"/>
      <c r="AM663" s="240"/>
      <c r="AN663" s="240"/>
    </row>
    <row r="664" ht="15.75" customHeight="1">
      <c r="A664" s="145"/>
      <c r="B664" s="145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  <c r="AA664" s="240"/>
      <c r="AB664" s="240"/>
      <c r="AC664" s="240"/>
      <c r="AD664" s="240"/>
      <c r="AE664" s="240"/>
      <c r="AF664" s="240"/>
      <c r="AG664" s="240"/>
      <c r="AH664" s="240"/>
      <c r="AI664" s="240"/>
      <c r="AJ664" s="240"/>
      <c r="AK664" s="240"/>
      <c r="AL664" s="240"/>
      <c r="AM664" s="240"/>
      <c r="AN664" s="240"/>
    </row>
    <row r="665" ht="15.75" customHeight="1">
      <c r="A665" s="145"/>
      <c r="B665" s="145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  <c r="AA665" s="240"/>
      <c r="AB665" s="240"/>
      <c r="AC665" s="240"/>
      <c r="AD665" s="240"/>
      <c r="AE665" s="240"/>
      <c r="AF665" s="240"/>
      <c r="AG665" s="240"/>
      <c r="AH665" s="240"/>
      <c r="AI665" s="240"/>
      <c r="AJ665" s="240"/>
      <c r="AK665" s="240"/>
      <c r="AL665" s="240"/>
      <c r="AM665" s="240"/>
      <c r="AN665" s="240"/>
    </row>
    <row r="666" ht="15.75" customHeight="1">
      <c r="A666" s="145"/>
      <c r="B666" s="145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  <c r="AA666" s="240"/>
      <c r="AB666" s="240"/>
      <c r="AC666" s="240"/>
      <c r="AD666" s="240"/>
      <c r="AE666" s="240"/>
      <c r="AF666" s="240"/>
      <c r="AG666" s="240"/>
      <c r="AH666" s="240"/>
      <c r="AI666" s="240"/>
      <c r="AJ666" s="240"/>
      <c r="AK666" s="240"/>
      <c r="AL666" s="240"/>
      <c r="AM666" s="240"/>
      <c r="AN666" s="240"/>
    </row>
    <row r="667" ht="15.75" customHeight="1">
      <c r="A667" s="145"/>
      <c r="B667" s="145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  <c r="AA667" s="240"/>
      <c r="AB667" s="240"/>
      <c r="AC667" s="240"/>
      <c r="AD667" s="240"/>
      <c r="AE667" s="240"/>
      <c r="AF667" s="240"/>
      <c r="AG667" s="240"/>
      <c r="AH667" s="240"/>
      <c r="AI667" s="240"/>
      <c r="AJ667" s="240"/>
      <c r="AK667" s="240"/>
      <c r="AL667" s="240"/>
      <c r="AM667" s="240"/>
      <c r="AN667" s="240"/>
    </row>
    <row r="668" ht="15.75" customHeight="1">
      <c r="A668" s="145"/>
      <c r="B668" s="145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  <c r="AA668" s="240"/>
      <c r="AB668" s="240"/>
      <c r="AC668" s="240"/>
      <c r="AD668" s="240"/>
      <c r="AE668" s="240"/>
      <c r="AF668" s="240"/>
      <c r="AG668" s="240"/>
      <c r="AH668" s="240"/>
      <c r="AI668" s="240"/>
      <c r="AJ668" s="240"/>
      <c r="AK668" s="240"/>
      <c r="AL668" s="240"/>
      <c r="AM668" s="240"/>
      <c r="AN668" s="240"/>
    </row>
    <row r="669" ht="15.75" customHeight="1">
      <c r="A669" s="145"/>
      <c r="B669" s="145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  <c r="AA669" s="240"/>
      <c r="AB669" s="240"/>
      <c r="AC669" s="240"/>
      <c r="AD669" s="240"/>
      <c r="AE669" s="240"/>
      <c r="AF669" s="240"/>
      <c r="AG669" s="240"/>
      <c r="AH669" s="240"/>
      <c r="AI669" s="240"/>
      <c r="AJ669" s="240"/>
      <c r="AK669" s="240"/>
      <c r="AL669" s="240"/>
      <c r="AM669" s="240"/>
      <c r="AN669" s="240"/>
    </row>
    <row r="670" ht="15.75" customHeight="1">
      <c r="A670" s="145"/>
      <c r="B670" s="145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  <c r="AA670" s="240"/>
      <c r="AB670" s="240"/>
      <c r="AC670" s="240"/>
      <c r="AD670" s="240"/>
      <c r="AE670" s="240"/>
      <c r="AF670" s="240"/>
      <c r="AG670" s="240"/>
      <c r="AH670" s="240"/>
      <c r="AI670" s="240"/>
      <c r="AJ670" s="240"/>
      <c r="AK670" s="240"/>
      <c r="AL670" s="240"/>
      <c r="AM670" s="240"/>
      <c r="AN670" s="240"/>
    </row>
    <row r="671" ht="15.75" customHeight="1">
      <c r="A671" s="145"/>
      <c r="B671" s="145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  <c r="AA671" s="240"/>
      <c r="AB671" s="240"/>
      <c r="AC671" s="240"/>
      <c r="AD671" s="240"/>
      <c r="AE671" s="240"/>
      <c r="AF671" s="240"/>
      <c r="AG671" s="240"/>
      <c r="AH671" s="240"/>
      <c r="AI671" s="240"/>
      <c r="AJ671" s="240"/>
      <c r="AK671" s="240"/>
      <c r="AL671" s="240"/>
      <c r="AM671" s="240"/>
      <c r="AN671" s="240"/>
    </row>
    <row r="672" ht="15.75" customHeight="1">
      <c r="A672" s="145"/>
      <c r="B672" s="145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  <c r="AA672" s="240"/>
      <c r="AB672" s="240"/>
      <c r="AC672" s="240"/>
      <c r="AD672" s="240"/>
      <c r="AE672" s="240"/>
      <c r="AF672" s="240"/>
      <c r="AG672" s="240"/>
      <c r="AH672" s="240"/>
      <c r="AI672" s="240"/>
      <c r="AJ672" s="240"/>
      <c r="AK672" s="240"/>
      <c r="AL672" s="240"/>
      <c r="AM672" s="240"/>
      <c r="AN672" s="240"/>
    </row>
    <row r="673" ht="15.75" customHeight="1">
      <c r="A673" s="145"/>
      <c r="B673" s="145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  <c r="AA673" s="240"/>
      <c r="AB673" s="240"/>
      <c r="AC673" s="240"/>
      <c r="AD673" s="240"/>
      <c r="AE673" s="240"/>
      <c r="AF673" s="240"/>
      <c r="AG673" s="240"/>
      <c r="AH673" s="240"/>
      <c r="AI673" s="240"/>
      <c r="AJ673" s="240"/>
      <c r="AK673" s="240"/>
      <c r="AL673" s="240"/>
      <c r="AM673" s="240"/>
      <c r="AN673" s="240"/>
    </row>
    <row r="674" ht="15.75" customHeight="1">
      <c r="A674" s="145"/>
      <c r="B674" s="145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  <c r="AA674" s="240"/>
      <c r="AB674" s="240"/>
      <c r="AC674" s="240"/>
      <c r="AD674" s="240"/>
      <c r="AE674" s="240"/>
      <c r="AF674" s="240"/>
      <c r="AG674" s="240"/>
      <c r="AH674" s="240"/>
      <c r="AI674" s="240"/>
      <c r="AJ674" s="240"/>
      <c r="AK674" s="240"/>
      <c r="AL674" s="240"/>
      <c r="AM674" s="240"/>
      <c r="AN674" s="240"/>
    </row>
    <row r="675" ht="15.75" customHeight="1">
      <c r="A675" s="145"/>
      <c r="B675" s="145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  <c r="AA675" s="240"/>
      <c r="AB675" s="240"/>
      <c r="AC675" s="240"/>
      <c r="AD675" s="240"/>
      <c r="AE675" s="240"/>
      <c r="AF675" s="240"/>
      <c r="AG675" s="240"/>
      <c r="AH675" s="240"/>
      <c r="AI675" s="240"/>
      <c r="AJ675" s="240"/>
      <c r="AK675" s="240"/>
      <c r="AL675" s="240"/>
      <c r="AM675" s="240"/>
      <c r="AN675" s="240"/>
    </row>
    <row r="676" ht="15.75" customHeight="1">
      <c r="A676" s="145"/>
      <c r="B676" s="145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  <c r="AA676" s="240"/>
      <c r="AB676" s="240"/>
      <c r="AC676" s="240"/>
      <c r="AD676" s="240"/>
      <c r="AE676" s="240"/>
      <c r="AF676" s="240"/>
      <c r="AG676" s="240"/>
      <c r="AH676" s="240"/>
      <c r="AI676" s="240"/>
      <c r="AJ676" s="240"/>
      <c r="AK676" s="240"/>
      <c r="AL676" s="240"/>
      <c r="AM676" s="240"/>
      <c r="AN676" s="240"/>
    </row>
    <row r="677" ht="15.75" customHeight="1">
      <c r="A677" s="145"/>
      <c r="B677" s="145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  <c r="AA677" s="240"/>
      <c r="AB677" s="240"/>
      <c r="AC677" s="240"/>
      <c r="AD677" s="240"/>
      <c r="AE677" s="240"/>
      <c r="AF677" s="240"/>
      <c r="AG677" s="240"/>
      <c r="AH677" s="240"/>
      <c r="AI677" s="240"/>
      <c r="AJ677" s="240"/>
      <c r="AK677" s="240"/>
      <c r="AL677" s="240"/>
      <c r="AM677" s="240"/>
      <c r="AN677" s="240"/>
    </row>
    <row r="678" ht="15.75" customHeight="1">
      <c r="A678" s="145"/>
      <c r="B678" s="145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  <c r="AA678" s="240"/>
      <c r="AB678" s="240"/>
      <c r="AC678" s="240"/>
      <c r="AD678" s="240"/>
      <c r="AE678" s="240"/>
      <c r="AF678" s="240"/>
      <c r="AG678" s="240"/>
      <c r="AH678" s="240"/>
      <c r="AI678" s="240"/>
      <c r="AJ678" s="240"/>
      <c r="AK678" s="240"/>
      <c r="AL678" s="240"/>
      <c r="AM678" s="240"/>
      <c r="AN678" s="240"/>
    </row>
    <row r="679" ht="15.75" customHeight="1">
      <c r="A679" s="145"/>
      <c r="B679" s="145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  <c r="AA679" s="240"/>
      <c r="AB679" s="240"/>
      <c r="AC679" s="240"/>
      <c r="AD679" s="240"/>
      <c r="AE679" s="240"/>
      <c r="AF679" s="240"/>
      <c r="AG679" s="240"/>
      <c r="AH679" s="240"/>
      <c r="AI679" s="240"/>
      <c r="AJ679" s="240"/>
      <c r="AK679" s="240"/>
      <c r="AL679" s="240"/>
      <c r="AM679" s="240"/>
      <c r="AN679" s="240"/>
    </row>
    <row r="680" ht="15.75" customHeight="1">
      <c r="A680" s="145"/>
      <c r="B680" s="145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  <c r="AA680" s="240"/>
      <c r="AB680" s="240"/>
      <c r="AC680" s="240"/>
      <c r="AD680" s="240"/>
      <c r="AE680" s="240"/>
      <c r="AF680" s="240"/>
      <c r="AG680" s="240"/>
      <c r="AH680" s="240"/>
      <c r="AI680" s="240"/>
      <c r="AJ680" s="240"/>
      <c r="AK680" s="240"/>
      <c r="AL680" s="240"/>
      <c r="AM680" s="240"/>
      <c r="AN680" s="240"/>
    </row>
    <row r="681" ht="15.75" customHeight="1">
      <c r="A681" s="145"/>
      <c r="B681" s="145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  <c r="AA681" s="240"/>
      <c r="AB681" s="240"/>
      <c r="AC681" s="240"/>
      <c r="AD681" s="240"/>
      <c r="AE681" s="240"/>
      <c r="AF681" s="240"/>
      <c r="AG681" s="240"/>
      <c r="AH681" s="240"/>
      <c r="AI681" s="240"/>
      <c r="AJ681" s="240"/>
      <c r="AK681" s="240"/>
      <c r="AL681" s="240"/>
      <c r="AM681" s="240"/>
      <c r="AN681" s="240"/>
    </row>
    <row r="682" ht="15.75" customHeight="1">
      <c r="A682" s="145"/>
      <c r="B682" s="145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  <c r="AA682" s="240"/>
      <c r="AB682" s="240"/>
      <c r="AC682" s="240"/>
      <c r="AD682" s="240"/>
      <c r="AE682" s="240"/>
      <c r="AF682" s="240"/>
      <c r="AG682" s="240"/>
      <c r="AH682" s="240"/>
      <c r="AI682" s="240"/>
      <c r="AJ682" s="240"/>
      <c r="AK682" s="240"/>
      <c r="AL682" s="240"/>
      <c r="AM682" s="240"/>
      <c r="AN682" s="240"/>
    </row>
    <row r="683" ht="15.75" customHeight="1">
      <c r="A683" s="145"/>
      <c r="B683" s="145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  <c r="AA683" s="240"/>
      <c r="AB683" s="240"/>
      <c r="AC683" s="240"/>
      <c r="AD683" s="240"/>
      <c r="AE683" s="240"/>
      <c r="AF683" s="240"/>
      <c r="AG683" s="240"/>
      <c r="AH683" s="240"/>
      <c r="AI683" s="240"/>
      <c r="AJ683" s="240"/>
      <c r="AK683" s="240"/>
      <c r="AL683" s="240"/>
      <c r="AM683" s="240"/>
      <c r="AN683" s="240"/>
    </row>
    <row r="684" ht="15.75" customHeight="1">
      <c r="A684" s="145"/>
      <c r="B684" s="145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  <c r="AA684" s="240"/>
      <c r="AB684" s="240"/>
      <c r="AC684" s="240"/>
      <c r="AD684" s="240"/>
      <c r="AE684" s="240"/>
      <c r="AF684" s="240"/>
      <c r="AG684" s="240"/>
      <c r="AH684" s="240"/>
      <c r="AI684" s="240"/>
      <c r="AJ684" s="240"/>
      <c r="AK684" s="240"/>
      <c r="AL684" s="240"/>
      <c r="AM684" s="240"/>
      <c r="AN684" s="240"/>
    </row>
    <row r="685" ht="15.75" customHeight="1">
      <c r="A685" s="145"/>
      <c r="B685" s="145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  <c r="AA685" s="240"/>
      <c r="AB685" s="240"/>
      <c r="AC685" s="240"/>
      <c r="AD685" s="240"/>
      <c r="AE685" s="240"/>
      <c r="AF685" s="240"/>
      <c r="AG685" s="240"/>
      <c r="AH685" s="240"/>
      <c r="AI685" s="240"/>
      <c r="AJ685" s="240"/>
      <c r="AK685" s="240"/>
      <c r="AL685" s="240"/>
      <c r="AM685" s="240"/>
      <c r="AN685" s="240"/>
    </row>
    <row r="686" ht="15.75" customHeight="1">
      <c r="A686" s="145"/>
      <c r="B686" s="145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  <c r="AA686" s="240"/>
      <c r="AB686" s="240"/>
      <c r="AC686" s="240"/>
      <c r="AD686" s="240"/>
      <c r="AE686" s="240"/>
      <c r="AF686" s="240"/>
      <c r="AG686" s="240"/>
      <c r="AH686" s="240"/>
      <c r="AI686" s="240"/>
      <c r="AJ686" s="240"/>
      <c r="AK686" s="240"/>
      <c r="AL686" s="240"/>
      <c r="AM686" s="240"/>
      <c r="AN686" s="240"/>
    </row>
    <row r="687" ht="15.75" customHeight="1">
      <c r="A687" s="145"/>
      <c r="B687" s="145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  <c r="AA687" s="240"/>
      <c r="AB687" s="240"/>
      <c r="AC687" s="240"/>
      <c r="AD687" s="240"/>
      <c r="AE687" s="240"/>
      <c r="AF687" s="240"/>
      <c r="AG687" s="240"/>
      <c r="AH687" s="240"/>
      <c r="AI687" s="240"/>
      <c r="AJ687" s="240"/>
      <c r="AK687" s="240"/>
      <c r="AL687" s="240"/>
      <c r="AM687" s="240"/>
      <c r="AN687" s="240"/>
    </row>
    <row r="688" ht="15.75" customHeight="1">
      <c r="A688" s="145"/>
      <c r="B688" s="145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  <c r="AA688" s="240"/>
      <c r="AB688" s="240"/>
      <c r="AC688" s="240"/>
      <c r="AD688" s="240"/>
      <c r="AE688" s="240"/>
      <c r="AF688" s="240"/>
      <c r="AG688" s="240"/>
      <c r="AH688" s="240"/>
      <c r="AI688" s="240"/>
      <c r="AJ688" s="240"/>
      <c r="AK688" s="240"/>
      <c r="AL688" s="240"/>
      <c r="AM688" s="240"/>
      <c r="AN688" s="240"/>
    </row>
    <row r="689" ht="15.75" customHeight="1">
      <c r="A689" s="145"/>
      <c r="B689" s="145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  <c r="AA689" s="240"/>
      <c r="AB689" s="240"/>
      <c r="AC689" s="240"/>
      <c r="AD689" s="240"/>
      <c r="AE689" s="240"/>
      <c r="AF689" s="240"/>
      <c r="AG689" s="240"/>
      <c r="AH689" s="240"/>
      <c r="AI689" s="240"/>
      <c r="AJ689" s="240"/>
      <c r="AK689" s="240"/>
      <c r="AL689" s="240"/>
      <c r="AM689" s="240"/>
      <c r="AN689" s="240"/>
    </row>
    <row r="690" ht="15.75" customHeight="1">
      <c r="A690" s="145"/>
      <c r="B690" s="145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  <c r="AA690" s="240"/>
      <c r="AB690" s="240"/>
      <c r="AC690" s="240"/>
      <c r="AD690" s="240"/>
      <c r="AE690" s="240"/>
      <c r="AF690" s="240"/>
      <c r="AG690" s="240"/>
      <c r="AH690" s="240"/>
      <c r="AI690" s="240"/>
      <c r="AJ690" s="240"/>
      <c r="AK690" s="240"/>
      <c r="AL690" s="240"/>
      <c r="AM690" s="240"/>
      <c r="AN690" s="240"/>
    </row>
    <row r="691" ht="15.75" customHeight="1">
      <c r="A691" s="145"/>
      <c r="B691" s="145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  <c r="AA691" s="240"/>
      <c r="AB691" s="240"/>
      <c r="AC691" s="240"/>
      <c r="AD691" s="240"/>
      <c r="AE691" s="240"/>
      <c r="AF691" s="240"/>
      <c r="AG691" s="240"/>
      <c r="AH691" s="240"/>
      <c r="AI691" s="240"/>
      <c r="AJ691" s="240"/>
      <c r="AK691" s="240"/>
      <c r="AL691" s="240"/>
      <c r="AM691" s="240"/>
      <c r="AN691" s="240"/>
    </row>
    <row r="692" ht="15.75" customHeight="1">
      <c r="A692" s="145"/>
      <c r="B692" s="145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  <c r="AA692" s="240"/>
      <c r="AB692" s="240"/>
      <c r="AC692" s="240"/>
      <c r="AD692" s="240"/>
      <c r="AE692" s="240"/>
      <c r="AF692" s="240"/>
      <c r="AG692" s="240"/>
      <c r="AH692" s="240"/>
      <c r="AI692" s="240"/>
      <c r="AJ692" s="240"/>
      <c r="AK692" s="240"/>
      <c r="AL692" s="240"/>
      <c r="AM692" s="240"/>
      <c r="AN692" s="240"/>
    </row>
    <row r="693" ht="15.75" customHeight="1">
      <c r="A693" s="145"/>
      <c r="B693" s="145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  <c r="AA693" s="240"/>
      <c r="AB693" s="240"/>
      <c r="AC693" s="240"/>
      <c r="AD693" s="240"/>
      <c r="AE693" s="240"/>
      <c r="AF693" s="240"/>
      <c r="AG693" s="240"/>
      <c r="AH693" s="240"/>
      <c r="AI693" s="240"/>
      <c r="AJ693" s="240"/>
      <c r="AK693" s="240"/>
      <c r="AL693" s="240"/>
      <c r="AM693" s="240"/>
      <c r="AN693" s="240"/>
    </row>
    <row r="694" ht="15.75" customHeight="1">
      <c r="A694" s="145"/>
      <c r="B694" s="145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  <c r="AA694" s="240"/>
      <c r="AB694" s="240"/>
      <c r="AC694" s="240"/>
      <c r="AD694" s="240"/>
      <c r="AE694" s="240"/>
      <c r="AF694" s="240"/>
      <c r="AG694" s="240"/>
      <c r="AH694" s="240"/>
      <c r="AI694" s="240"/>
      <c r="AJ694" s="240"/>
      <c r="AK694" s="240"/>
      <c r="AL694" s="240"/>
      <c r="AM694" s="240"/>
      <c r="AN694" s="240"/>
    </row>
    <row r="695" ht="15.75" customHeight="1">
      <c r="A695" s="145"/>
      <c r="B695" s="145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  <c r="AA695" s="240"/>
      <c r="AB695" s="240"/>
      <c r="AC695" s="240"/>
      <c r="AD695" s="240"/>
      <c r="AE695" s="240"/>
      <c r="AF695" s="240"/>
      <c r="AG695" s="240"/>
      <c r="AH695" s="240"/>
      <c r="AI695" s="240"/>
      <c r="AJ695" s="240"/>
      <c r="AK695" s="240"/>
      <c r="AL695" s="240"/>
      <c r="AM695" s="240"/>
      <c r="AN695" s="240"/>
    </row>
    <row r="696" ht="15.75" customHeight="1">
      <c r="A696" s="145"/>
      <c r="B696" s="145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  <c r="AA696" s="240"/>
      <c r="AB696" s="240"/>
      <c r="AC696" s="240"/>
      <c r="AD696" s="240"/>
      <c r="AE696" s="240"/>
      <c r="AF696" s="240"/>
      <c r="AG696" s="240"/>
      <c r="AH696" s="240"/>
      <c r="AI696" s="240"/>
      <c r="AJ696" s="240"/>
      <c r="AK696" s="240"/>
      <c r="AL696" s="240"/>
      <c r="AM696" s="240"/>
      <c r="AN696" s="240"/>
    </row>
    <row r="697" ht="15.75" customHeight="1">
      <c r="A697" s="145"/>
      <c r="B697" s="145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  <c r="AA697" s="240"/>
      <c r="AB697" s="240"/>
      <c r="AC697" s="240"/>
      <c r="AD697" s="240"/>
      <c r="AE697" s="240"/>
      <c r="AF697" s="240"/>
      <c r="AG697" s="240"/>
      <c r="AH697" s="240"/>
      <c r="AI697" s="240"/>
      <c r="AJ697" s="240"/>
      <c r="AK697" s="240"/>
      <c r="AL697" s="240"/>
      <c r="AM697" s="240"/>
      <c r="AN697" s="240"/>
    </row>
    <row r="698" ht="15.75" customHeight="1">
      <c r="A698" s="145"/>
      <c r="B698" s="145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  <c r="AA698" s="240"/>
      <c r="AB698" s="240"/>
      <c r="AC698" s="240"/>
      <c r="AD698" s="240"/>
      <c r="AE698" s="240"/>
      <c r="AF698" s="240"/>
      <c r="AG698" s="240"/>
      <c r="AH698" s="240"/>
      <c r="AI698" s="240"/>
      <c r="AJ698" s="240"/>
      <c r="AK698" s="240"/>
      <c r="AL698" s="240"/>
      <c r="AM698" s="240"/>
      <c r="AN698" s="240"/>
    </row>
    <row r="699" ht="15.75" customHeight="1">
      <c r="A699" s="145"/>
      <c r="B699" s="145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  <c r="AA699" s="240"/>
      <c r="AB699" s="240"/>
      <c r="AC699" s="240"/>
      <c r="AD699" s="240"/>
      <c r="AE699" s="240"/>
      <c r="AF699" s="240"/>
      <c r="AG699" s="240"/>
      <c r="AH699" s="240"/>
      <c r="AI699" s="240"/>
      <c r="AJ699" s="240"/>
      <c r="AK699" s="240"/>
      <c r="AL699" s="240"/>
      <c r="AM699" s="240"/>
      <c r="AN699" s="240"/>
    </row>
    <row r="700" ht="15.75" customHeight="1">
      <c r="A700" s="145"/>
      <c r="B700" s="145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  <c r="AA700" s="240"/>
      <c r="AB700" s="240"/>
      <c r="AC700" s="240"/>
      <c r="AD700" s="240"/>
      <c r="AE700" s="240"/>
      <c r="AF700" s="240"/>
      <c r="AG700" s="240"/>
      <c r="AH700" s="240"/>
      <c r="AI700" s="240"/>
      <c r="AJ700" s="240"/>
      <c r="AK700" s="240"/>
      <c r="AL700" s="240"/>
      <c r="AM700" s="240"/>
      <c r="AN700" s="240"/>
    </row>
    <row r="701" ht="15.75" customHeight="1">
      <c r="A701" s="145"/>
      <c r="B701" s="145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  <c r="AA701" s="240"/>
      <c r="AB701" s="240"/>
      <c r="AC701" s="240"/>
      <c r="AD701" s="240"/>
      <c r="AE701" s="240"/>
      <c r="AF701" s="240"/>
      <c r="AG701" s="240"/>
      <c r="AH701" s="240"/>
      <c r="AI701" s="240"/>
      <c r="AJ701" s="240"/>
      <c r="AK701" s="240"/>
      <c r="AL701" s="240"/>
      <c r="AM701" s="240"/>
      <c r="AN701" s="240"/>
    </row>
    <row r="702" ht="15.75" customHeight="1">
      <c r="A702" s="145"/>
      <c r="B702" s="145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  <c r="AA702" s="240"/>
      <c r="AB702" s="240"/>
      <c r="AC702" s="240"/>
      <c r="AD702" s="240"/>
      <c r="AE702" s="240"/>
      <c r="AF702" s="240"/>
      <c r="AG702" s="240"/>
      <c r="AH702" s="240"/>
      <c r="AI702" s="240"/>
      <c r="AJ702" s="240"/>
      <c r="AK702" s="240"/>
      <c r="AL702" s="240"/>
      <c r="AM702" s="240"/>
      <c r="AN702" s="240"/>
    </row>
    <row r="703" ht="15.75" customHeight="1">
      <c r="A703" s="145"/>
      <c r="B703" s="145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  <c r="AA703" s="240"/>
      <c r="AB703" s="240"/>
      <c r="AC703" s="240"/>
      <c r="AD703" s="240"/>
      <c r="AE703" s="240"/>
      <c r="AF703" s="240"/>
      <c r="AG703" s="240"/>
      <c r="AH703" s="240"/>
      <c r="AI703" s="240"/>
      <c r="AJ703" s="240"/>
      <c r="AK703" s="240"/>
      <c r="AL703" s="240"/>
      <c r="AM703" s="240"/>
      <c r="AN703" s="240"/>
    </row>
    <row r="704" ht="15.75" customHeight="1">
      <c r="A704" s="145"/>
      <c r="B704" s="145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  <c r="AA704" s="240"/>
      <c r="AB704" s="240"/>
      <c r="AC704" s="240"/>
      <c r="AD704" s="240"/>
      <c r="AE704" s="240"/>
      <c r="AF704" s="240"/>
      <c r="AG704" s="240"/>
      <c r="AH704" s="240"/>
      <c r="AI704" s="240"/>
      <c r="AJ704" s="240"/>
      <c r="AK704" s="240"/>
      <c r="AL704" s="240"/>
      <c r="AM704" s="240"/>
      <c r="AN704" s="240"/>
    </row>
    <row r="705" ht="15.75" customHeight="1">
      <c r="A705" s="145"/>
      <c r="B705" s="145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  <c r="AA705" s="240"/>
      <c r="AB705" s="240"/>
      <c r="AC705" s="240"/>
      <c r="AD705" s="240"/>
      <c r="AE705" s="240"/>
      <c r="AF705" s="240"/>
      <c r="AG705" s="240"/>
      <c r="AH705" s="240"/>
      <c r="AI705" s="240"/>
      <c r="AJ705" s="240"/>
      <c r="AK705" s="240"/>
      <c r="AL705" s="240"/>
      <c r="AM705" s="240"/>
      <c r="AN705" s="240"/>
    </row>
    <row r="706" ht="15.75" customHeight="1">
      <c r="A706" s="145"/>
      <c r="B706" s="145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  <c r="AA706" s="240"/>
      <c r="AB706" s="240"/>
      <c r="AC706" s="240"/>
      <c r="AD706" s="240"/>
      <c r="AE706" s="240"/>
      <c r="AF706" s="240"/>
      <c r="AG706" s="240"/>
      <c r="AH706" s="240"/>
      <c r="AI706" s="240"/>
      <c r="AJ706" s="240"/>
      <c r="AK706" s="240"/>
      <c r="AL706" s="240"/>
      <c r="AM706" s="240"/>
      <c r="AN706" s="240"/>
    </row>
    <row r="707" ht="15.75" customHeight="1">
      <c r="A707" s="145"/>
      <c r="B707" s="145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  <c r="AA707" s="240"/>
      <c r="AB707" s="240"/>
      <c r="AC707" s="240"/>
      <c r="AD707" s="240"/>
      <c r="AE707" s="240"/>
      <c r="AF707" s="240"/>
      <c r="AG707" s="240"/>
      <c r="AH707" s="240"/>
      <c r="AI707" s="240"/>
      <c r="AJ707" s="240"/>
      <c r="AK707" s="240"/>
      <c r="AL707" s="240"/>
      <c r="AM707" s="240"/>
      <c r="AN707" s="240"/>
    </row>
    <row r="708" ht="15.75" customHeight="1">
      <c r="A708" s="145"/>
      <c r="B708" s="145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  <c r="AA708" s="240"/>
      <c r="AB708" s="240"/>
      <c r="AC708" s="240"/>
      <c r="AD708" s="240"/>
      <c r="AE708" s="240"/>
      <c r="AF708" s="240"/>
      <c r="AG708" s="240"/>
      <c r="AH708" s="240"/>
      <c r="AI708" s="240"/>
      <c r="AJ708" s="240"/>
      <c r="AK708" s="240"/>
      <c r="AL708" s="240"/>
      <c r="AM708" s="240"/>
      <c r="AN708" s="240"/>
    </row>
    <row r="709" ht="15.75" customHeight="1">
      <c r="A709" s="145"/>
      <c r="B709" s="145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  <c r="AA709" s="240"/>
      <c r="AB709" s="240"/>
      <c r="AC709" s="240"/>
      <c r="AD709" s="240"/>
      <c r="AE709" s="240"/>
      <c r="AF709" s="240"/>
      <c r="AG709" s="240"/>
      <c r="AH709" s="240"/>
      <c r="AI709" s="240"/>
      <c r="AJ709" s="240"/>
      <c r="AK709" s="240"/>
      <c r="AL709" s="240"/>
      <c r="AM709" s="240"/>
      <c r="AN709" s="240"/>
    </row>
    <row r="710" ht="15.75" customHeight="1">
      <c r="A710" s="145"/>
      <c r="B710" s="145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  <c r="AA710" s="240"/>
      <c r="AB710" s="240"/>
      <c r="AC710" s="240"/>
      <c r="AD710" s="240"/>
      <c r="AE710" s="240"/>
      <c r="AF710" s="240"/>
      <c r="AG710" s="240"/>
      <c r="AH710" s="240"/>
      <c r="AI710" s="240"/>
      <c r="AJ710" s="240"/>
      <c r="AK710" s="240"/>
      <c r="AL710" s="240"/>
      <c r="AM710" s="240"/>
      <c r="AN710" s="240"/>
    </row>
    <row r="711" ht="15.75" customHeight="1">
      <c r="A711" s="145"/>
      <c r="B711" s="145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  <c r="AA711" s="240"/>
      <c r="AB711" s="240"/>
      <c r="AC711" s="240"/>
      <c r="AD711" s="240"/>
      <c r="AE711" s="240"/>
      <c r="AF711" s="240"/>
      <c r="AG711" s="240"/>
      <c r="AH711" s="240"/>
      <c r="AI711" s="240"/>
      <c r="AJ711" s="240"/>
      <c r="AK711" s="240"/>
      <c r="AL711" s="240"/>
      <c r="AM711" s="240"/>
      <c r="AN711" s="240"/>
    </row>
    <row r="712" ht="15.75" customHeight="1">
      <c r="A712" s="145"/>
      <c r="B712" s="145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  <c r="AA712" s="240"/>
      <c r="AB712" s="240"/>
      <c r="AC712" s="240"/>
      <c r="AD712" s="240"/>
      <c r="AE712" s="240"/>
      <c r="AF712" s="240"/>
      <c r="AG712" s="240"/>
      <c r="AH712" s="240"/>
      <c r="AI712" s="240"/>
      <c r="AJ712" s="240"/>
      <c r="AK712" s="240"/>
      <c r="AL712" s="240"/>
      <c r="AM712" s="240"/>
      <c r="AN712" s="240"/>
    </row>
    <row r="713" ht="15.75" customHeight="1">
      <c r="A713" s="145"/>
      <c r="B713" s="145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  <c r="AA713" s="240"/>
      <c r="AB713" s="240"/>
      <c r="AC713" s="240"/>
      <c r="AD713" s="240"/>
      <c r="AE713" s="240"/>
      <c r="AF713" s="240"/>
      <c r="AG713" s="240"/>
      <c r="AH713" s="240"/>
      <c r="AI713" s="240"/>
      <c r="AJ713" s="240"/>
      <c r="AK713" s="240"/>
      <c r="AL713" s="240"/>
      <c r="AM713" s="240"/>
      <c r="AN713" s="240"/>
    </row>
    <row r="714" ht="15.75" customHeight="1">
      <c r="A714" s="145"/>
      <c r="B714" s="145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  <c r="AA714" s="240"/>
      <c r="AB714" s="240"/>
      <c r="AC714" s="240"/>
      <c r="AD714" s="240"/>
      <c r="AE714" s="240"/>
      <c r="AF714" s="240"/>
      <c r="AG714" s="240"/>
      <c r="AH714" s="240"/>
      <c r="AI714" s="240"/>
      <c r="AJ714" s="240"/>
      <c r="AK714" s="240"/>
      <c r="AL714" s="240"/>
      <c r="AM714" s="240"/>
      <c r="AN714" s="240"/>
    </row>
    <row r="715" ht="15.75" customHeight="1">
      <c r="A715" s="145"/>
      <c r="B715" s="145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  <c r="AA715" s="240"/>
      <c r="AB715" s="240"/>
      <c r="AC715" s="240"/>
      <c r="AD715" s="240"/>
      <c r="AE715" s="240"/>
      <c r="AF715" s="240"/>
      <c r="AG715" s="240"/>
      <c r="AH715" s="240"/>
      <c r="AI715" s="240"/>
      <c r="AJ715" s="240"/>
      <c r="AK715" s="240"/>
      <c r="AL715" s="240"/>
      <c r="AM715" s="240"/>
      <c r="AN715" s="240"/>
    </row>
    <row r="716" ht="15.75" customHeight="1">
      <c r="A716" s="145"/>
      <c r="B716" s="145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  <c r="AA716" s="240"/>
      <c r="AB716" s="240"/>
      <c r="AC716" s="240"/>
      <c r="AD716" s="240"/>
      <c r="AE716" s="240"/>
      <c r="AF716" s="240"/>
      <c r="AG716" s="240"/>
      <c r="AH716" s="240"/>
      <c r="AI716" s="240"/>
      <c r="AJ716" s="240"/>
      <c r="AK716" s="240"/>
      <c r="AL716" s="240"/>
      <c r="AM716" s="240"/>
      <c r="AN716" s="240"/>
    </row>
    <row r="717" ht="15.75" customHeight="1">
      <c r="A717" s="145"/>
      <c r="B717" s="145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  <c r="AA717" s="240"/>
      <c r="AB717" s="240"/>
      <c r="AC717" s="240"/>
      <c r="AD717" s="240"/>
      <c r="AE717" s="240"/>
      <c r="AF717" s="240"/>
      <c r="AG717" s="240"/>
      <c r="AH717" s="240"/>
      <c r="AI717" s="240"/>
      <c r="AJ717" s="240"/>
      <c r="AK717" s="240"/>
      <c r="AL717" s="240"/>
      <c r="AM717" s="240"/>
      <c r="AN717" s="240"/>
    </row>
    <row r="718" ht="15.75" customHeight="1">
      <c r="A718" s="145"/>
      <c r="B718" s="145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  <c r="AA718" s="240"/>
      <c r="AB718" s="240"/>
      <c r="AC718" s="240"/>
      <c r="AD718" s="240"/>
      <c r="AE718" s="240"/>
      <c r="AF718" s="240"/>
      <c r="AG718" s="240"/>
      <c r="AH718" s="240"/>
      <c r="AI718" s="240"/>
      <c r="AJ718" s="240"/>
      <c r="AK718" s="240"/>
      <c r="AL718" s="240"/>
      <c r="AM718" s="240"/>
      <c r="AN718" s="240"/>
    </row>
    <row r="719" ht="15.75" customHeight="1">
      <c r="A719" s="145"/>
      <c r="B719" s="145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  <c r="AA719" s="240"/>
      <c r="AB719" s="240"/>
      <c r="AC719" s="240"/>
      <c r="AD719" s="240"/>
      <c r="AE719" s="240"/>
      <c r="AF719" s="240"/>
      <c r="AG719" s="240"/>
      <c r="AH719" s="240"/>
      <c r="AI719" s="240"/>
      <c r="AJ719" s="240"/>
      <c r="AK719" s="240"/>
      <c r="AL719" s="240"/>
      <c r="AM719" s="240"/>
      <c r="AN719" s="240"/>
    </row>
    <row r="720" ht="15.75" customHeight="1">
      <c r="A720" s="145"/>
      <c r="B720" s="145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  <c r="AA720" s="240"/>
      <c r="AB720" s="240"/>
      <c r="AC720" s="240"/>
      <c r="AD720" s="240"/>
      <c r="AE720" s="240"/>
      <c r="AF720" s="240"/>
      <c r="AG720" s="240"/>
      <c r="AH720" s="240"/>
      <c r="AI720" s="240"/>
      <c r="AJ720" s="240"/>
      <c r="AK720" s="240"/>
      <c r="AL720" s="240"/>
      <c r="AM720" s="240"/>
      <c r="AN720" s="240"/>
    </row>
    <row r="721" ht="15.75" customHeight="1">
      <c r="A721" s="145"/>
      <c r="B721" s="145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  <c r="AA721" s="240"/>
      <c r="AB721" s="240"/>
      <c r="AC721" s="240"/>
      <c r="AD721" s="240"/>
      <c r="AE721" s="240"/>
      <c r="AF721" s="240"/>
      <c r="AG721" s="240"/>
      <c r="AH721" s="240"/>
      <c r="AI721" s="240"/>
      <c r="AJ721" s="240"/>
      <c r="AK721" s="240"/>
      <c r="AL721" s="240"/>
      <c r="AM721" s="240"/>
      <c r="AN721" s="240"/>
    </row>
    <row r="722" ht="15.75" customHeight="1">
      <c r="A722" s="145"/>
      <c r="B722" s="145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  <c r="AA722" s="240"/>
      <c r="AB722" s="240"/>
      <c r="AC722" s="240"/>
      <c r="AD722" s="240"/>
      <c r="AE722" s="240"/>
      <c r="AF722" s="240"/>
      <c r="AG722" s="240"/>
      <c r="AH722" s="240"/>
      <c r="AI722" s="240"/>
      <c r="AJ722" s="240"/>
      <c r="AK722" s="240"/>
      <c r="AL722" s="240"/>
      <c r="AM722" s="240"/>
      <c r="AN722" s="240"/>
    </row>
    <row r="723" ht="15.75" customHeight="1">
      <c r="A723" s="145"/>
      <c r="B723" s="145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  <c r="AA723" s="240"/>
      <c r="AB723" s="240"/>
      <c r="AC723" s="240"/>
      <c r="AD723" s="240"/>
      <c r="AE723" s="240"/>
      <c r="AF723" s="240"/>
      <c r="AG723" s="240"/>
      <c r="AH723" s="240"/>
      <c r="AI723" s="240"/>
      <c r="AJ723" s="240"/>
      <c r="AK723" s="240"/>
      <c r="AL723" s="240"/>
      <c r="AM723" s="240"/>
      <c r="AN723" s="240"/>
    </row>
    <row r="724" ht="15.75" customHeight="1">
      <c r="A724" s="145"/>
      <c r="B724" s="145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  <c r="AA724" s="240"/>
      <c r="AB724" s="240"/>
      <c r="AC724" s="240"/>
      <c r="AD724" s="240"/>
      <c r="AE724" s="240"/>
      <c r="AF724" s="240"/>
      <c r="AG724" s="240"/>
      <c r="AH724" s="240"/>
      <c r="AI724" s="240"/>
      <c r="AJ724" s="240"/>
      <c r="AK724" s="240"/>
      <c r="AL724" s="240"/>
      <c r="AM724" s="240"/>
      <c r="AN724" s="240"/>
    </row>
    <row r="725" ht="15.75" customHeight="1">
      <c r="A725" s="145"/>
      <c r="B725" s="145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  <c r="AA725" s="240"/>
      <c r="AB725" s="240"/>
      <c r="AC725" s="240"/>
      <c r="AD725" s="240"/>
      <c r="AE725" s="240"/>
      <c r="AF725" s="240"/>
      <c r="AG725" s="240"/>
      <c r="AH725" s="240"/>
      <c r="AI725" s="240"/>
      <c r="AJ725" s="240"/>
      <c r="AK725" s="240"/>
      <c r="AL725" s="240"/>
      <c r="AM725" s="240"/>
      <c r="AN725" s="240"/>
    </row>
    <row r="726" ht="15.75" customHeight="1">
      <c r="A726" s="145"/>
      <c r="B726" s="145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  <c r="AA726" s="240"/>
      <c r="AB726" s="240"/>
      <c r="AC726" s="240"/>
      <c r="AD726" s="240"/>
      <c r="AE726" s="240"/>
      <c r="AF726" s="240"/>
      <c r="AG726" s="240"/>
      <c r="AH726" s="240"/>
      <c r="AI726" s="240"/>
      <c r="AJ726" s="240"/>
      <c r="AK726" s="240"/>
      <c r="AL726" s="240"/>
      <c r="AM726" s="240"/>
      <c r="AN726" s="240"/>
    </row>
    <row r="727" ht="15.75" customHeight="1">
      <c r="A727" s="145"/>
      <c r="B727" s="145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  <c r="AA727" s="240"/>
      <c r="AB727" s="240"/>
      <c r="AC727" s="240"/>
      <c r="AD727" s="240"/>
      <c r="AE727" s="240"/>
      <c r="AF727" s="240"/>
      <c r="AG727" s="240"/>
      <c r="AH727" s="240"/>
      <c r="AI727" s="240"/>
      <c r="AJ727" s="240"/>
      <c r="AK727" s="240"/>
      <c r="AL727" s="240"/>
      <c r="AM727" s="240"/>
      <c r="AN727" s="240"/>
    </row>
    <row r="728" ht="15.75" customHeight="1">
      <c r="A728" s="145"/>
      <c r="B728" s="145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  <c r="AA728" s="240"/>
      <c r="AB728" s="240"/>
      <c r="AC728" s="240"/>
      <c r="AD728" s="240"/>
      <c r="AE728" s="240"/>
      <c r="AF728" s="240"/>
      <c r="AG728" s="240"/>
      <c r="AH728" s="240"/>
      <c r="AI728" s="240"/>
      <c r="AJ728" s="240"/>
      <c r="AK728" s="240"/>
      <c r="AL728" s="240"/>
      <c r="AM728" s="240"/>
      <c r="AN728" s="240"/>
    </row>
    <row r="729" ht="15.75" customHeight="1">
      <c r="A729" s="145"/>
      <c r="B729" s="145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  <c r="AA729" s="240"/>
      <c r="AB729" s="240"/>
      <c r="AC729" s="240"/>
      <c r="AD729" s="240"/>
      <c r="AE729" s="240"/>
      <c r="AF729" s="240"/>
      <c r="AG729" s="240"/>
      <c r="AH729" s="240"/>
      <c r="AI729" s="240"/>
      <c r="AJ729" s="240"/>
      <c r="AK729" s="240"/>
      <c r="AL729" s="240"/>
      <c r="AM729" s="240"/>
      <c r="AN729" s="240"/>
    </row>
    <row r="730" ht="15.75" customHeight="1">
      <c r="A730" s="145"/>
      <c r="B730" s="145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  <c r="AA730" s="240"/>
      <c r="AB730" s="240"/>
      <c r="AC730" s="240"/>
      <c r="AD730" s="240"/>
      <c r="AE730" s="240"/>
      <c r="AF730" s="240"/>
      <c r="AG730" s="240"/>
      <c r="AH730" s="240"/>
      <c r="AI730" s="240"/>
      <c r="AJ730" s="240"/>
      <c r="AK730" s="240"/>
      <c r="AL730" s="240"/>
      <c r="AM730" s="240"/>
      <c r="AN730" s="240"/>
    </row>
    <row r="731" ht="15.75" customHeight="1">
      <c r="A731" s="145"/>
      <c r="B731" s="145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  <c r="AA731" s="240"/>
      <c r="AB731" s="240"/>
      <c r="AC731" s="240"/>
      <c r="AD731" s="240"/>
      <c r="AE731" s="240"/>
      <c r="AF731" s="240"/>
      <c r="AG731" s="240"/>
      <c r="AH731" s="240"/>
      <c r="AI731" s="240"/>
      <c r="AJ731" s="240"/>
      <c r="AK731" s="240"/>
      <c r="AL731" s="240"/>
      <c r="AM731" s="240"/>
      <c r="AN731" s="240"/>
    </row>
    <row r="732" ht="15.75" customHeight="1">
      <c r="A732" s="145"/>
      <c r="B732" s="145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  <c r="AA732" s="240"/>
      <c r="AB732" s="240"/>
      <c r="AC732" s="240"/>
      <c r="AD732" s="240"/>
      <c r="AE732" s="240"/>
      <c r="AF732" s="240"/>
      <c r="AG732" s="240"/>
      <c r="AH732" s="240"/>
      <c r="AI732" s="240"/>
      <c r="AJ732" s="240"/>
      <c r="AK732" s="240"/>
      <c r="AL732" s="240"/>
      <c r="AM732" s="240"/>
      <c r="AN732" s="240"/>
    </row>
    <row r="733" ht="15.75" customHeight="1">
      <c r="A733" s="145"/>
      <c r="B733" s="145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  <c r="AA733" s="240"/>
      <c r="AB733" s="240"/>
      <c r="AC733" s="240"/>
      <c r="AD733" s="240"/>
      <c r="AE733" s="240"/>
      <c r="AF733" s="240"/>
      <c r="AG733" s="240"/>
      <c r="AH733" s="240"/>
      <c r="AI733" s="240"/>
      <c r="AJ733" s="240"/>
      <c r="AK733" s="240"/>
      <c r="AL733" s="240"/>
      <c r="AM733" s="240"/>
      <c r="AN733" s="240"/>
    </row>
    <row r="734" ht="15.75" customHeight="1">
      <c r="A734" s="145"/>
      <c r="B734" s="145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  <c r="AA734" s="240"/>
      <c r="AB734" s="240"/>
      <c r="AC734" s="240"/>
      <c r="AD734" s="240"/>
      <c r="AE734" s="240"/>
      <c r="AF734" s="240"/>
      <c r="AG734" s="240"/>
      <c r="AH734" s="240"/>
      <c r="AI734" s="240"/>
      <c r="AJ734" s="240"/>
      <c r="AK734" s="240"/>
      <c r="AL734" s="240"/>
      <c r="AM734" s="240"/>
      <c r="AN734" s="240"/>
    </row>
    <row r="735" ht="15.75" customHeight="1">
      <c r="A735" s="145"/>
      <c r="B735" s="145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  <c r="AA735" s="240"/>
      <c r="AB735" s="240"/>
      <c r="AC735" s="240"/>
      <c r="AD735" s="240"/>
      <c r="AE735" s="240"/>
      <c r="AF735" s="240"/>
      <c r="AG735" s="240"/>
      <c r="AH735" s="240"/>
      <c r="AI735" s="240"/>
      <c r="AJ735" s="240"/>
      <c r="AK735" s="240"/>
      <c r="AL735" s="240"/>
      <c r="AM735" s="240"/>
      <c r="AN735" s="240"/>
    </row>
    <row r="736" ht="15.75" customHeight="1">
      <c r="A736" s="145"/>
      <c r="B736" s="145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  <c r="AA736" s="240"/>
      <c r="AB736" s="240"/>
      <c r="AC736" s="240"/>
      <c r="AD736" s="240"/>
      <c r="AE736" s="240"/>
      <c r="AF736" s="240"/>
      <c r="AG736" s="240"/>
      <c r="AH736" s="240"/>
      <c r="AI736" s="240"/>
      <c r="AJ736" s="240"/>
      <c r="AK736" s="240"/>
      <c r="AL736" s="240"/>
      <c r="AM736" s="240"/>
      <c r="AN736" s="240"/>
    </row>
    <row r="737" ht="15.75" customHeight="1">
      <c r="A737" s="145"/>
      <c r="B737" s="145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  <c r="AA737" s="240"/>
      <c r="AB737" s="240"/>
      <c r="AC737" s="240"/>
      <c r="AD737" s="240"/>
      <c r="AE737" s="240"/>
      <c r="AF737" s="240"/>
      <c r="AG737" s="240"/>
      <c r="AH737" s="240"/>
      <c r="AI737" s="240"/>
      <c r="AJ737" s="240"/>
      <c r="AK737" s="240"/>
      <c r="AL737" s="240"/>
      <c r="AM737" s="240"/>
      <c r="AN737" s="240"/>
    </row>
    <row r="738" ht="15.75" customHeight="1">
      <c r="A738" s="145"/>
      <c r="B738" s="145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  <c r="AA738" s="240"/>
      <c r="AB738" s="240"/>
      <c r="AC738" s="240"/>
      <c r="AD738" s="240"/>
      <c r="AE738" s="240"/>
      <c r="AF738" s="240"/>
      <c r="AG738" s="240"/>
      <c r="AH738" s="240"/>
      <c r="AI738" s="240"/>
      <c r="AJ738" s="240"/>
      <c r="AK738" s="240"/>
      <c r="AL738" s="240"/>
      <c r="AM738" s="240"/>
      <c r="AN738" s="240"/>
    </row>
    <row r="739" ht="15.75" customHeight="1">
      <c r="A739" s="145"/>
      <c r="B739" s="145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  <c r="AA739" s="240"/>
      <c r="AB739" s="240"/>
      <c r="AC739" s="240"/>
      <c r="AD739" s="240"/>
      <c r="AE739" s="240"/>
      <c r="AF739" s="240"/>
      <c r="AG739" s="240"/>
      <c r="AH739" s="240"/>
      <c r="AI739" s="240"/>
      <c r="AJ739" s="240"/>
      <c r="AK739" s="240"/>
      <c r="AL739" s="240"/>
      <c r="AM739" s="240"/>
      <c r="AN739" s="240"/>
    </row>
    <row r="740" ht="15.75" customHeight="1">
      <c r="A740" s="145"/>
      <c r="B740" s="145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  <c r="AA740" s="240"/>
      <c r="AB740" s="240"/>
      <c r="AC740" s="240"/>
      <c r="AD740" s="240"/>
      <c r="AE740" s="240"/>
      <c r="AF740" s="240"/>
      <c r="AG740" s="240"/>
      <c r="AH740" s="240"/>
      <c r="AI740" s="240"/>
      <c r="AJ740" s="240"/>
      <c r="AK740" s="240"/>
      <c r="AL740" s="240"/>
      <c r="AM740" s="240"/>
      <c r="AN740" s="240"/>
    </row>
    <row r="741" ht="15.75" customHeight="1">
      <c r="A741" s="145"/>
      <c r="B741" s="145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  <c r="AA741" s="240"/>
      <c r="AB741" s="240"/>
      <c r="AC741" s="240"/>
      <c r="AD741" s="240"/>
      <c r="AE741" s="240"/>
      <c r="AF741" s="240"/>
      <c r="AG741" s="240"/>
      <c r="AH741" s="240"/>
      <c r="AI741" s="240"/>
      <c r="AJ741" s="240"/>
      <c r="AK741" s="240"/>
      <c r="AL741" s="240"/>
      <c r="AM741" s="240"/>
      <c r="AN741" s="240"/>
    </row>
    <row r="742" ht="15.75" customHeight="1">
      <c r="A742" s="145"/>
      <c r="B742" s="145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  <c r="AA742" s="240"/>
      <c r="AB742" s="240"/>
      <c r="AC742" s="240"/>
      <c r="AD742" s="240"/>
      <c r="AE742" s="240"/>
      <c r="AF742" s="240"/>
      <c r="AG742" s="240"/>
      <c r="AH742" s="240"/>
      <c r="AI742" s="240"/>
      <c r="AJ742" s="240"/>
      <c r="AK742" s="240"/>
      <c r="AL742" s="240"/>
      <c r="AM742" s="240"/>
      <c r="AN742" s="240"/>
    </row>
    <row r="743" ht="15.75" customHeight="1">
      <c r="A743" s="145"/>
      <c r="B743" s="145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  <c r="AA743" s="240"/>
      <c r="AB743" s="240"/>
      <c r="AC743" s="240"/>
      <c r="AD743" s="240"/>
      <c r="AE743" s="240"/>
      <c r="AF743" s="240"/>
      <c r="AG743" s="240"/>
      <c r="AH743" s="240"/>
      <c r="AI743" s="240"/>
      <c r="AJ743" s="240"/>
      <c r="AK743" s="240"/>
      <c r="AL743" s="240"/>
      <c r="AM743" s="240"/>
      <c r="AN743" s="240"/>
    </row>
    <row r="744" ht="15.75" customHeight="1">
      <c r="A744" s="145"/>
      <c r="B744" s="145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  <c r="AA744" s="240"/>
      <c r="AB744" s="240"/>
      <c r="AC744" s="240"/>
      <c r="AD744" s="240"/>
      <c r="AE744" s="240"/>
      <c r="AF744" s="240"/>
      <c r="AG744" s="240"/>
      <c r="AH744" s="240"/>
      <c r="AI744" s="240"/>
      <c r="AJ744" s="240"/>
      <c r="AK744" s="240"/>
      <c r="AL744" s="240"/>
      <c r="AM744" s="240"/>
      <c r="AN744" s="240"/>
    </row>
    <row r="745" ht="15.75" customHeight="1">
      <c r="A745" s="145"/>
      <c r="B745" s="145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  <c r="AA745" s="240"/>
      <c r="AB745" s="240"/>
      <c r="AC745" s="240"/>
      <c r="AD745" s="240"/>
      <c r="AE745" s="240"/>
      <c r="AF745" s="240"/>
      <c r="AG745" s="240"/>
      <c r="AH745" s="240"/>
      <c r="AI745" s="240"/>
      <c r="AJ745" s="240"/>
      <c r="AK745" s="240"/>
      <c r="AL745" s="240"/>
      <c r="AM745" s="240"/>
      <c r="AN745" s="240"/>
    </row>
    <row r="746" ht="15.75" customHeight="1">
      <c r="A746" s="145"/>
      <c r="B746" s="145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  <c r="AA746" s="240"/>
      <c r="AB746" s="240"/>
      <c r="AC746" s="240"/>
      <c r="AD746" s="240"/>
      <c r="AE746" s="240"/>
      <c r="AF746" s="240"/>
      <c r="AG746" s="240"/>
      <c r="AH746" s="240"/>
      <c r="AI746" s="240"/>
      <c r="AJ746" s="240"/>
      <c r="AK746" s="240"/>
      <c r="AL746" s="240"/>
      <c r="AM746" s="240"/>
      <c r="AN746" s="240"/>
    </row>
    <row r="747" ht="15.75" customHeight="1">
      <c r="A747" s="145"/>
      <c r="B747" s="145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  <c r="AA747" s="240"/>
      <c r="AB747" s="240"/>
      <c r="AC747" s="240"/>
      <c r="AD747" s="240"/>
      <c r="AE747" s="240"/>
      <c r="AF747" s="240"/>
      <c r="AG747" s="240"/>
      <c r="AH747" s="240"/>
      <c r="AI747" s="240"/>
      <c r="AJ747" s="240"/>
      <c r="AK747" s="240"/>
      <c r="AL747" s="240"/>
      <c r="AM747" s="240"/>
      <c r="AN747" s="240"/>
    </row>
    <row r="748" ht="15.75" customHeight="1">
      <c r="A748" s="145"/>
      <c r="B748" s="145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  <c r="AA748" s="240"/>
      <c r="AB748" s="240"/>
      <c r="AC748" s="240"/>
      <c r="AD748" s="240"/>
      <c r="AE748" s="240"/>
      <c r="AF748" s="240"/>
      <c r="AG748" s="240"/>
      <c r="AH748" s="240"/>
      <c r="AI748" s="240"/>
      <c r="AJ748" s="240"/>
      <c r="AK748" s="240"/>
      <c r="AL748" s="240"/>
      <c r="AM748" s="240"/>
      <c r="AN748" s="240"/>
    </row>
    <row r="749" ht="15.75" customHeight="1">
      <c r="A749" s="145"/>
      <c r="B749" s="145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  <c r="AA749" s="240"/>
      <c r="AB749" s="240"/>
      <c r="AC749" s="240"/>
      <c r="AD749" s="240"/>
      <c r="AE749" s="240"/>
      <c r="AF749" s="240"/>
      <c r="AG749" s="240"/>
      <c r="AH749" s="240"/>
      <c r="AI749" s="240"/>
      <c r="AJ749" s="240"/>
      <c r="AK749" s="240"/>
      <c r="AL749" s="240"/>
      <c r="AM749" s="240"/>
      <c r="AN749" s="240"/>
    </row>
    <row r="750" ht="15.75" customHeight="1">
      <c r="A750" s="145"/>
      <c r="B750" s="145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  <c r="AA750" s="240"/>
      <c r="AB750" s="240"/>
      <c r="AC750" s="240"/>
      <c r="AD750" s="240"/>
      <c r="AE750" s="240"/>
      <c r="AF750" s="240"/>
      <c r="AG750" s="240"/>
      <c r="AH750" s="240"/>
      <c r="AI750" s="240"/>
      <c r="AJ750" s="240"/>
      <c r="AK750" s="240"/>
      <c r="AL750" s="240"/>
      <c r="AM750" s="240"/>
      <c r="AN750" s="240"/>
    </row>
    <row r="751" ht="15.75" customHeight="1">
      <c r="A751" s="145"/>
      <c r="B751" s="145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  <c r="AA751" s="240"/>
      <c r="AB751" s="240"/>
      <c r="AC751" s="240"/>
      <c r="AD751" s="240"/>
      <c r="AE751" s="240"/>
      <c r="AF751" s="240"/>
      <c r="AG751" s="240"/>
      <c r="AH751" s="240"/>
      <c r="AI751" s="240"/>
      <c r="AJ751" s="240"/>
      <c r="AK751" s="240"/>
      <c r="AL751" s="240"/>
      <c r="AM751" s="240"/>
      <c r="AN751" s="240"/>
    </row>
    <row r="752" ht="15.75" customHeight="1">
      <c r="A752" s="145"/>
      <c r="B752" s="145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  <c r="AA752" s="240"/>
      <c r="AB752" s="240"/>
      <c r="AC752" s="240"/>
      <c r="AD752" s="240"/>
      <c r="AE752" s="240"/>
      <c r="AF752" s="240"/>
      <c r="AG752" s="240"/>
      <c r="AH752" s="240"/>
      <c r="AI752" s="240"/>
      <c r="AJ752" s="240"/>
      <c r="AK752" s="240"/>
      <c r="AL752" s="240"/>
      <c r="AM752" s="240"/>
      <c r="AN752" s="240"/>
    </row>
    <row r="753" ht="15.75" customHeight="1">
      <c r="A753" s="145"/>
      <c r="B753" s="145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  <c r="AA753" s="240"/>
      <c r="AB753" s="240"/>
      <c r="AC753" s="240"/>
      <c r="AD753" s="240"/>
      <c r="AE753" s="240"/>
      <c r="AF753" s="240"/>
      <c r="AG753" s="240"/>
      <c r="AH753" s="240"/>
      <c r="AI753" s="240"/>
      <c r="AJ753" s="240"/>
      <c r="AK753" s="240"/>
      <c r="AL753" s="240"/>
      <c r="AM753" s="240"/>
      <c r="AN753" s="240"/>
    </row>
    <row r="754" ht="15.75" customHeight="1">
      <c r="A754" s="145"/>
      <c r="B754" s="145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  <c r="AA754" s="240"/>
      <c r="AB754" s="240"/>
      <c r="AC754" s="240"/>
      <c r="AD754" s="240"/>
      <c r="AE754" s="240"/>
      <c r="AF754" s="240"/>
      <c r="AG754" s="240"/>
      <c r="AH754" s="240"/>
      <c r="AI754" s="240"/>
      <c r="AJ754" s="240"/>
      <c r="AK754" s="240"/>
      <c r="AL754" s="240"/>
      <c r="AM754" s="240"/>
      <c r="AN754" s="240"/>
    </row>
    <row r="755" ht="15.75" customHeight="1">
      <c r="A755" s="145"/>
      <c r="B755" s="145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  <c r="AA755" s="240"/>
      <c r="AB755" s="240"/>
      <c r="AC755" s="240"/>
      <c r="AD755" s="240"/>
      <c r="AE755" s="240"/>
      <c r="AF755" s="240"/>
      <c r="AG755" s="240"/>
      <c r="AH755" s="240"/>
      <c r="AI755" s="240"/>
      <c r="AJ755" s="240"/>
      <c r="AK755" s="240"/>
      <c r="AL755" s="240"/>
      <c r="AM755" s="240"/>
      <c r="AN755" s="240"/>
    </row>
    <row r="756" ht="15.75" customHeight="1">
      <c r="A756" s="145"/>
      <c r="B756" s="145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  <c r="AA756" s="240"/>
      <c r="AB756" s="240"/>
      <c r="AC756" s="240"/>
      <c r="AD756" s="240"/>
      <c r="AE756" s="240"/>
      <c r="AF756" s="240"/>
      <c r="AG756" s="240"/>
      <c r="AH756" s="240"/>
      <c r="AI756" s="240"/>
      <c r="AJ756" s="240"/>
      <c r="AK756" s="240"/>
      <c r="AL756" s="240"/>
      <c r="AM756" s="240"/>
      <c r="AN756" s="240"/>
    </row>
    <row r="757" ht="15.75" customHeight="1">
      <c r="A757" s="145"/>
      <c r="B757" s="145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  <c r="AA757" s="240"/>
      <c r="AB757" s="240"/>
      <c r="AC757" s="240"/>
      <c r="AD757" s="240"/>
      <c r="AE757" s="240"/>
      <c r="AF757" s="240"/>
      <c r="AG757" s="240"/>
      <c r="AH757" s="240"/>
      <c r="AI757" s="240"/>
      <c r="AJ757" s="240"/>
      <c r="AK757" s="240"/>
      <c r="AL757" s="240"/>
      <c r="AM757" s="240"/>
      <c r="AN757" s="240"/>
    </row>
    <row r="758" ht="15.75" customHeight="1">
      <c r="A758" s="145"/>
      <c r="B758" s="145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  <c r="AA758" s="240"/>
      <c r="AB758" s="240"/>
      <c r="AC758" s="240"/>
      <c r="AD758" s="240"/>
      <c r="AE758" s="240"/>
      <c r="AF758" s="240"/>
      <c r="AG758" s="240"/>
      <c r="AH758" s="240"/>
      <c r="AI758" s="240"/>
      <c r="AJ758" s="240"/>
      <c r="AK758" s="240"/>
      <c r="AL758" s="240"/>
      <c r="AM758" s="240"/>
      <c r="AN758" s="240"/>
    </row>
    <row r="759" ht="15.75" customHeight="1">
      <c r="A759" s="145"/>
      <c r="B759" s="145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  <c r="AA759" s="240"/>
      <c r="AB759" s="240"/>
      <c r="AC759" s="240"/>
      <c r="AD759" s="240"/>
      <c r="AE759" s="240"/>
      <c r="AF759" s="240"/>
      <c r="AG759" s="240"/>
      <c r="AH759" s="240"/>
      <c r="AI759" s="240"/>
      <c r="AJ759" s="240"/>
      <c r="AK759" s="240"/>
      <c r="AL759" s="240"/>
      <c r="AM759" s="240"/>
      <c r="AN759" s="240"/>
    </row>
    <row r="760" ht="15.75" customHeight="1">
      <c r="A760" s="145"/>
      <c r="B760" s="145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  <c r="AA760" s="240"/>
      <c r="AB760" s="240"/>
      <c r="AC760" s="240"/>
      <c r="AD760" s="240"/>
      <c r="AE760" s="240"/>
      <c r="AF760" s="240"/>
      <c r="AG760" s="240"/>
      <c r="AH760" s="240"/>
      <c r="AI760" s="240"/>
      <c r="AJ760" s="240"/>
      <c r="AK760" s="240"/>
      <c r="AL760" s="240"/>
      <c r="AM760" s="240"/>
      <c r="AN760" s="240"/>
    </row>
    <row r="761" ht="15.75" customHeight="1">
      <c r="A761" s="145"/>
      <c r="B761" s="145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  <c r="AA761" s="240"/>
      <c r="AB761" s="240"/>
      <c r="AC761" s="240"/>
      <c r="AD761" s="240"/>
      <c r="AE761" s="240"/>
      <c r="AF761" s="240"/>
      <c r="AG761" s="240"/>
      <c r="AH761" s="240"/>
      <c r="AI761" s="240"/>
      <c r="AJ761" s="240"/>
      <c r="AK761" s="240"/>
      <c r="AL761" s="240"/>
      <c r="AM761" s="240"/>
      <c r="AN761" s="240"/>
    </row>
    <row r="762" ht="15.75" customHeight="1">
      <c r="A762" s="145"/>
      <c r="B762" s="145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  <c r="AA762" s="240"/>
      <c r="AB762" s="240"/>
      <c r="AC762" s="240"/>
      <c r="AD762" s="240"/>
      <c r="AE762" s="240"/>
      <c r="AF762" s="240"/>
      <c r="AG762" s="240"/>
      <c r="AH762" s="240"/>
      <c r="AI762" s="240"/>
      <c r="AJ762" s="240"/>
      <c r="AK762" s="240"/>
      <c r="AL762" s="240"/>
      <c r="AM762" s="240"/>
      <c r="AN762" s="240"/>
    </row>
    <row r="763" ht="15.75" customHeight="1">
      <c r="A763" s="145"/>
      <c r="B763" s="145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  <c r="AA763" s="240"/>
      <c r="AB763" s="240"/>
      <c r="AC763" s="240"/>
      <c r="AD763" s="240"/>
      <c r="AE763" s="240"/>
      <c r="AF763" s="240"/>
      <c r="AG763" s="240"/>
      <c r="AH763" s="240"/>
      <c r="AI763" s="240"/>
      <c r="AJ763" s="240"/>
      <c r="AK763" s="240"/>
      <c r="AL763" s="240"/>
      <c r="AM763" s="240"/>
      <c r="AN763" s="240"/>
    </row>
    <row r="764" ht="15.75" customHeight="1">
      <c r="A764" s="145"/>
      <c r="B764" s="145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  <c r="AA764" s="240"/>
      <c r="AB764" s="240"/>
      <c r="AC764" s="240"/>
      <c r="AD764" s="240"/>
      <c r="AE764" s="240"/>
      <c r="AF764" s="240"/>
      <c r="AG764" s="240"/>
      <c r="AH764" s="240"/>
      <c r="AI764" s="240"/>
      <c r="AJ764" s="240"/>
      <c r="AK764" s="240"/>
      <c r="AL764" s="240"/>
      <c r="AM764" s="240"/>
      <c r="AN764" s="240"/>
    </row>
    <row r="765" ht="15.75" customHeight="1">
      <c r="A765" s="145"/>
      <c r="B765" s="145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  <c r="AA765" s="240"/>
      <c r="AB765" s="240"/>
      <c r="AC765" s="240"/>
      <c r="AD765" s="240"/>
      <c r="AE765" s="240"/>
      <c r="AF765" s="240"/>
      <c r="AG765" s="240"/>
      <c r="AH765" s="240"/>
      <c r="AI765" s="240"/>
      <c r="AJ765" s="240"/>
      <c r="AK765" s="240"/>
      <c r="AL765" s="240"/>
      <c r="AM765" s="240"/>
      <c r="AN765" s="240"/>
    </row>
    <row r="766" ht="15.75" customHeight="1">
      <c r="A766" s="145"/>
      <c r="B766" s="145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  <c r="AA766" s="240"/>
      <c r="AB766" s="240"/>
      <c r="AC766" s="240"/>
      <c r="AD766" s="240"/>
      <c r="AE766" s="240"/>
      <c r="AF766" s="240"/>
      <c r="AG766" s="240"/>
      <c r="AH766" s="240"/>
      <c r="AI766" s="240"/>
      <c r="AJ766" s="240"/>
      <c r="AK766" s="240"/>
      <c r="AL766" s="240"/>
      <c r="AM766" s="240"/>
      <c r="AN766" s="240"/>
    </row>
    <row r="767" ht="15.75" customHeight="1">
      <c r="A767" s="145"/>
      <c r="B767" s="145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  <c r="AA767" s="240"/>
      <c r="AB767" s="240"/>
      <c r="AC767" s="240"/>
      <c r="AD767" s="240"/>
      <c r="AE767" s="240"/>
      <c r="AF767" s="240"/>
      <c r="AG767" s="240"/>
      <c r="AH767" s="240"/>
      <c r="AI767" s="240"/>
      <c r="AJ767" s="240"/>
      <c r="AK767" s="240"/>
      <c r="AL767" s="240"/>
      <c r="AM767" s="240"/>
      <c r="AN767" s="240"/>
    </row>
    <row r="768" ht="15.75" customHeight="1">
      <c r="A768" s="145"/>
      <c r="B768" s="145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  <c r="AA768" s="240"/>
      <c r="AB768" s="240"/>
      <c r="AC768" s="240"/>
      <c r="AD768" s="240"/>
      <c r="AE768" s="240"/>
      <c r="AF768" s="240"/>
      <c r="AG768" s="240"/>
      <c r="AH768" s="240"/>
      <c r="AI768" s="240"/>
      <c r="AJ768" s="240"/>
      <c r="AK768" s="240"/>
      <c r="AL768" s="240"/>
      <c r="AM768" s="240"/>
      <c r="AN768" s="240"/>
    </row>
    <row r="769" ht="15.75" customHeight="1">
      <c r="A769" s="145"/>
      <c r="B769" s="145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  <c r="AA769" s="240"/>
      <c r="AB769" s="240"/>
      <c r="AC769" s="240"/>
      <c r="AD769" s="240"/>
      <c r="AE769" s="240"/>
      <c r="AF769" s="240"/>
      <c r="AG769" s="240"/>
      <c r="AH769" s="240"/>
      <c r="AI769" s="240"/>
      <c r="AJ769" s="240"/>
      <c r="AK769" s="240"/>
      <c r="AL769" s="240"/>
      <c r="AM769" s="240"/>
      <c r="AN769" s="240"/>
    </row>
    <row r="770" ht="15.75" customHeight="1">
      <c r="A770" s="145"/>
      <c r="B770" s="145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  <c r="AA770" s="240"/>
      <c r="AB770" s="240"/>
      <c r="AC770" s="240"/>
      <c r="AD770" s="240"/>
      <c r="AE770" s="240"/>
      <c r="AF770" s="240"/>
      <c r="AG770" s="240"/>
      <c r="AH770" s="240"/>
      <c r="AI770" s="240"/>
      <c r="AJ770" s="240"/>
      <c r="AK770" s="240"/>
      <c r="AL770" s="240"/>
      <c r="AM770" s="240"/>
      <c r="AN770" s="240"/>
    </row>
    <row r="771" ht="15.75" customHeight="1">
      <c r="A771" s="145"/>
      <c r="B771" s="145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  <c r="AA771" s="240"/>
      <c r="AB771" s="240"/>
      <c r="AC771" s="240"/>
      <c r="AD771" s="240"/>
      <c r="AE771" s="240"/>
      <c r="AF771" s="240"/>
      <c r="AG771" s="240"/>
      <c r="AH771" s="240"/>
      <c r="AI771" s="240"/>
      <c r="AJ771" s="240"/>
      <c r="AK771" s="240"/>
      <c r="AL771" s="240"/>
      <c r="AM771" s="240"/>
      <c r="AN771" s="240"/>
    </row>
    <row r="772" ht="15.75" customHeight="1">
      <c r="A772" s="145"/>
      <c r="B772" s="145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  <c r="AA772" s="240"/>
      <c r="AB772" s="240"/>
      <c r="AC772" s="240"/>
      <c r="AD772" s="240"/>
      <c r="AE772" s="240"/>
      <c r="AF772" s="240"/>
      <c r="AG772" s="240"/>
      <c r="AH772" s="240"/>
      <c r="AI772" s="240"/>
      <c r="AJ772" s="240"/>
      <c r="AK772" s="240"/>
      <c r="AL772" s="240"/>
      <c r="AM772" s="240"/>
      <c r="AN772" s="240"/>
    </row>
    <row r="773" ht="15.75" customHeight="1">
      <c r="A773" s="145"/>
      <c r="B773" s="145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  <c r="AA773" s="240"/>
      <c r="AB773" s="240"/>
      <c r="AC773" s="240"/>
      <c r="AD773" s="240"/>
      <c r="AE773" s="240"/>
      <c r="AF773" s="240"/>
      <c r="AG773" s="240"/>
      <c r="AH773" s="240"/>
      <c r="AI773" s="240"/>
      <c r="AJ773" s="240"/>
      <c r="AK773" s="240"/>
      <c r="AL773" s="240"/>
      <c r="AM773" s="240"/>
      <c r="AN773" s="240"/>
    </row>
    <row r="774" ht="15.75" customHeight="1">
      <c r="A774" s="145"/>
      <c r="B774" s="145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  <c r="AA774" s="240"/>
      <c r="AB774" s="240"/>
      <c r="AC774" s="240"/>
      <c r="AD774" s="240"/>
      <c r="AE774" s="240"/>
      <c r="AF774" s="240"/>
      <c r="AG774" s="240"/>
      <c r="AH774" s="240"/>
      <c r="AI774" s="240"/>
      <c r="AJ774" s="240"/>
      <c r="AK774" s="240"/>
      <c r="AL774" s="240"/>
      <c r="AM774" s="240"/>
      <c r="AN774" s="240"/>
    </row>
    <row r="775" ht="15.75" customHeight="1">
      <c r="A775" s="145"/>
      <c r="B775" s="145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  <c r="AA775" s="240"/>
      <c r="AB775" s="240"/>
      <c r="AC775" s="240"/>
      <c r="AD775" s="240"/>
      <c r="AE775" s="240"/>
      <c r="AF775" s="240"/>
      <c r="AG775" s="240"/>
      <c r="AH775" s="240"/>
      <c r="AI775" s="240"/>
      <c r="AJ775" s="240"/>
      <c r="AK775" s="240"/>
      <c r="AL775" s="240"/>
      <c r="AM775" s="240"/>
      <c r="AN775" s="240"/>
    </row>
    <row r="776" ht="15.75" customHeight="1">
      <c r="A776" s="145"/>
      <c r="B776" s="145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  <c r="AA776" s="240"/>
      <c r="AB776" s="240"/>
      <c r="AC776" s="240"/>
      <c r="AD776" s="240"/>
      <c r="AE776" s="240"/>
      <c r="AF776" s="240"/>
      <c r="AG776" s="240"/>
      <c r="AH776" s="240"/>
      <c r="AI776" s="240"/>
      <c r="AJ776" s="240"/>
      <c r="AK776" s="240"/>
      <c r="AL776" s="240"/>
      <c r="AM776" s="240"/>
      <c r="AN776" s="240"/>
    </row>
    <row r="777" ht="15.75" customHeight="1">
      <c r="A777" s="145"/>
      <c r="B777" s="145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  <c r="AA777" s="240"/>
      <c r="AB777" s="240"/>
      <c r="AC777" s="240"/>
      <c r="AD777" s="240"/>
      <c r="AE777" s="240"/>
      <c r="AF777" s="240"/>
      <c r="AG777" s="240"/>
      <c r="AH777" s="240"/>
      <c r="AI777" s="240"/>
      <c r="AJ777" s="240"/>
      <c r="AK777" s="240"/>
      <c r="AL777" s="240"/>
      <c r="AM777" s="240"/>
      <c r="AN777" s="240"/>
    </row>
    <row r="778" ht="15.75" customHeight="1">
      <c r="A778" s="145"/>
      <c r="B778" s="145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  <c r="AA778" s="240"/>
      <c r="AB778" s="240"/>
      <c r="AC778" s="240"/>
      <c r="AD778" s="240"/>
      <c r="AE778" s="240"/>
      <c r="AF778" s="240"/>
      <c r="AG778" s="240"/>
      <c r="AH778" s="240"/>
      <c r="AI778" s="240"/>
      <c r="AJ778" s="240"/>
      <c r="AK778" s="240"/>
      <c r="AL778" s="240"/>
      <c r="AM778" s="240"/>
      <c r="AN778" s="240"/>
    </row>
    <row r="779" ht="15.75" customHeight="1">
      <c r="A779" s="145"/>
      <c r="B779" s="145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  <c r="AA779" s="240"/>
      <c r="AB779" s="240"/>
      <c r="AC779" s="240"/>
      <c r="AD779" s="240"/>
      <c r="AE779" s="240"/>
      <c r="AF779" s="240"/>
      <c r="AG779" s="240"/>
      <c r="AH779" s="240"/>
      <c r="AI779" s="240"/>
      <c r="AJ779" s="240"/>
      <c r="AK779" s="240"/>
      <c r="AL779" s="240"/>
      <c r="AM779" s="240"/>
      <c r="AN779" s="240"/>
    </row>
    <row r="780" ht="15.75" customHeight="1">
      <c r="A780" s="145"/>
      <c r="B780" s="145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  <c r="AA780" s="240"/>
      <c r="AB780" s="240"/>
      <c r="AC780" s="240"/>
      <c r="AD780" s="240"/>
      <c r="AE780" s="240"/>
      <c r="AF780" s="240"/>
      <c r="AG780" s="240"/>
      <c r="AH780" s="240"/>
      <c r="AI780" s="240"/>
      <c r="AJ780" s="240"/>
      <c r="AK780" s="240"/>
      <c r="AL780" s="240"/>
      <c r="AM780" s="240"/>
      <c r="AN780" s="240"/>
    </row>
    <row r="781" ht="15.75" customHeight="1">
      <c r="A781" s="145"/>
      <c r="B781" s="145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  <c r="AA781" s="240"/>
      <c r="AB781" s="240"/>
      <c r="AC781" s="240"/>
      <c r="AD781" s="240"/>
      <c r="AE781" s="240"/>
      <c r="AF781" s="240"/>
      <c r="AG781" s="240"/>
      <c r="AH781" s="240"/>
      <c r="AI781" s="240"/>
      <c r="AJ781" s="240"/>
      <c r="AK781" s="240"/>
      <c r="AL781" s="240"/>
      <c r="AM781" s="240"/>
      <c r="AN781" s="240"/>
    </row>
    <row r="782" ht="15.75" customHeight="1">
      <c r="A782" s="145"/>
      <c r="B782" s="145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  <c r="AA782" s="240"/>
      <c r="AB782" s="240"/>
      <c r="AC782" s="240"/>
      <c r="AD782" s="240"/>
      <c r="AE782" s="240"/>
      <c r="AF782" s="240"/>
      <c r="AG782" s="240"/>
      <c r="AH782" s="240"/>
      <c r="AI782" s="240"/>
      <c r="AJ782" s="240"/>
      <c r="AK782" s="240"/>
      <c r="AL782" s="240"/>
      <c r="AM782" s="240"/>
      <c r="AN782" s="240"/>
    </row>
    <row r="783" ht="15.75" customHeight="1">
      <c r="A783" s="145"/>
      <c r="B783" s="145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  <c r="AA783" s="240"/>
      <c r="AB783" s="240"/>
      <c r="AC783" s="240"/>
      <c r="AD783" s="240"/>
      <c r="AE783" s="240"/>
      <c r="AF783" s="240"/>
      <c r="AG783" s="240"/>
      <c r="AH783" s="240"/>
      <c r="AI783" s="240"/>
      <c r="AJ783" s="240"/>
      <c r="AK783" s="240"/>
      <c r="AL783" s="240"/>
      <c r="AM783" s="240"/>
      <c r="AN783" s="240"/>
    </row>
    <row r="784" ht="15.75" customHeight="1">
      <c r="A784" s="145"/>
      <c r="B784" s="145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  <c r="AA784" s="240"/>
      <c r="AB784" s="240"/>
      <c r="AC784" s="240"/>
      <c r="AD784" s="240"/>
      <c r="AE784" s="240"/>
      <c r="AF784" s="240"/>
      <c r="AG784" s="240"/>
      <c r="AH784" s="240"/>
      <c r="AI784" s="240"/>
      <c r="AJ784" s="240"/>
      <c r="AK784" s="240"/>
      <c r="AL784" s="240"/>
      <c r="AM784" s="240"/>
      <c r="AN784" s="240"/>
    </row>
    <row r="785" ht="15.75" customHeight="1">
      <c r="A785" s="145"/>
      <c r="B785" s="145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  <c r="AA785" s="240"/>
      <c r="AB785" s="240"/>
      <c r="AC785" s="240"/>
      <c r="AD785" s="240"/>
      <c r="AE785" s="240"/>
      <c r="AF785" s="240"/>
      <c r="AG785" s="240"/>
      <c r="AH785" s="240"/>
      <c r="AI785" s="240"/>
      <c r="AJ785" s="240"/>
      <c r="AK785" s="240"/>
      <c r="AL785" s="240"/>
      <c r="AM785" s="240"/>
      <c r="AN785" s="240"/>
    </row>
    <row r="786" ht="15.75" customHeight="1">
      <c r="A786" s="145"/>
      <c r="B786" s="145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  <c r="AA786" s="240"/>
      <c r="AB786" s="240"/>
      <c r="AC786" s="240"/>
      <c r="AD786" s="240"/>
      <c r="AE786" s="240"/>
      <c r="AF786" s="240"/>
      <c r="AG786" s="240"/>
      <c r="AH786" s="240"/>
      <c r="AI786" s="240"/>
      <c r="AJ786" s="240"/>
      <c r="AK786" s="240"/>
      <c r="AL786" s="240"/>
      <c r="AM786" s="240"/>
      <c r="AN786" s="240"/>
    </row>
    <row r="787" ht="15.75" customHeight="1">
      <c r="A787" s="145"/>
      <c r="B787" s="145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  <c r="AA787" s="240"/>
      <c r="AB787" s="240"/>
      <c r="AC787" s="240"/>
      <c r="AD787" s="240"/>
      <c r="AE787" s="240"/>
      <c r="AF787" s="240"/>
      <c r="AG787" s="240"/>
      <c r="AH787" s="240"/>
      <c r="AI787" s="240"/>
      <c r="AJ787" s="240"/>
      <c r="AK787" s="240"/>
      <c r="AL787" s="240"/>
      <c r="AM787" s="240"/>
      <c r="AN787" s="240"/>
    </row>
    <row r="788" ht="15.75" customHeight="1">
      <c r="A788" s="145"/>
      <c r="B788" s="145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  <c r="AA788" s="240"/>
      <c r="AB788" s="240"/>
      <c r="AC788" s="240"/>
      <c r="AD788" s="240"/>
      <c r="AE788" s="240"/>
      <c r="AF788" s="240"/>
      <c r="AG788" s="240"/>
      <c r="AH788" s="240"/>
      <c r="AI788" s="240"/>
      <c r="AJ788" s="240"/>
      <c r="AK788" s="240"/>
      <c r="AL788" s="240"/>
      <c r="AM788" s="240"/>
      <c r="AN788" s="240"/>
    </row>
    <row r="789" ht="15.75" customHeight="1">
      <c r="A789" s="145"/>
      <c r="B789" s="145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  <c r="AA789" s="240"/>
      <c r="AB789" s="240"/>
      <c r="AC789" s="240"/>
      <c r="AD789" s="240"/>
      <c r="AE789" s="240"/>
      <c r="AF789" s="240"/>
      <c r="AG789" s="240"/>
      <c r="AH789" s="240"/>
      <c r="AI789" s="240"/>
      <c r="AJ789" s="240"/>
      <c r="AK789" s="240"/>
      <c r="AL789" s="240"/>
      <c r="AM789" s="240"/>
      <c r="AN789" s="240"/>
    </row>
    <row r="790" ht="15.75" customHeight="1">
      <c r="A790" s="145"/>
      <c r="B790" s="145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  <c r="AA790" s="240"/>
      <c r="AB790" s="240"/>
      <c r="AC790" s="240"/>
      <c r="AD790" s="240"/>
      <c r="AE790" s="240"/>
      <c r="AF790" s="240"/>
      <c r="AG790" s="240"/>
      <c r="AH790" s="240"/>
      <c r="AI790" s="240"/>
      <c r="AJ790" s="240"/>
      <c r="AK790" s="240"/>
      <c r="AL790" s="240"/>
      <c r="AM790" s="240"/>
      <c r="AN790" s="240"/>
    </row>
    <row r="791" ht="15.75" customHeight="1">
      <c r="A791" s="145"/>
      <c r="B791" s="145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  <c r="AA791" s="240"/>
      <c r="AB791" s="240"/>
      <c r="AC791" s="240"/>
      <c r="AD791" s="240"/>
      <c r="AE791" s="240"/>
      <c r="AF791" s="240"/>
      <c r="AG791" s="240"/>
      <c r="AH791" s="240"/>
      <c r="AI791" s="240"/>
      <c r="AJ791" s="240"/>
      <c r="AK791" s="240"/>
      <c r="AL791" s="240"/>
      <c r="AM791" s="240"/>
      <c r="AN791" s="240"/>
    </row>
    <row r="792" ht="15.75" customHeight="1">
      <c r="A792" s="145"/>
      <c r="B792" s="145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  <c r="AA792" s="240"/>
      <c r="AB792" s="240"/>
      <c r="AC792" s="240"/>
      <c r="AD792" s="240"/>
      <c r="AE792" s="240"/>
      <c r="AF792" s="240"/>
      <c r="AG792" s="240"/>
      <c r="AH792" s="240"/>
      <c r="AI792" s="240"/>
      <c r="AJ792" s="240"/>
      <c r="AK792" s="240"/>
      <c r="AL792" s="240"/>
      <c r="AM792" s="240"/>
      <c r="AN792" s="240"/>
    </row>
    <row r="793" ht="15.75" customHeight="1">
      <c r="A793" s="145"/>
      <c r="B793" s="145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  <c r="AA793" s="240"/>
      <c r="AB793" s="240"/>
      <c r="AC793" s="240"/>
      <c r="AD793" s="240"/>
      <c r="AE793" s="240"/>
      <c r="AF793" s="240"/>
      <c r="AG793" s="240"/>
      <c r="AH793" s="240"/>
      <c r="AI793" s="240"/>
      <c r="AJ793" s="240"/>
      <c r="AK793" s="240"/>
      <c r="AL793" s="240"/>
      <c r="AM793" s="240"/>
      <c r="AN793" s="240"/>
    </row>
    <row r="794" ht="15.75" customHeight="1">
      <c r="A794" s="145"/>
      <c r="B794" s="145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  <c r="AA794" s="240"/>
      <c r="AB794" s="240"/>
      <c r="AC794" s="240"/>
      <c r="AD794" s="240"/>
      <c r="AE794" s="240"/>
      <c r="AF794" s="240"/>
      <c r="AG794" s="240"/>
      <c r="AH794" s="240"/>
      <c r="AI794" s="240"/>
      <c r="AJ794" s="240"/>
      <c r="AK794" s="240"/>
      <c r="AL794" s="240"/>
      <c r="AM794" s="240"/>
      <c r="AN794" s="240"/>
    </row>
    <row r="795" ht="15.75" customHeight="1">
      <c r="A795" s="145"/>
      <c r="B795" s="145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  <c r="AA795" s="240"/>
      <c r="AB795" s="240"/>
      <c r="AC795" s="240"/>
      <c r="AD795" s="240"/>
      <c r="AE795" s="240"/>
      <c r="AF795" s="240"/>
      <c r="AG795" s="240"/>
      <c r="AH795" s="240"/>
      <c r="AI795" s="240"/>
      <c r="AJ795" s="240"/>
      <c r="AK795" s="240"/>
      <c r="AL795" s="240"/>
      <c r="AM795" s="240"/>
      <c r="AN795" s="240"/>
    </row>
    <row r="796" ht="15.75" customHeight="1">
      <c r="A796" s="145"/>
      <c r="B796" s="145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  <c r="AA796" s="240"/>
      <c r="AB796" s="240"/>
      <c r="AC796" s="240"/>
      <c r="AD796" s="240"/>
      <c r="AE796" s="240"/>
      <c r="AF796" s="240"/>
      <c r="AG796" s="240"/>
      <c r="AH796" s="240"/>
      <c r="AI796" s="240"/>
      <c r="AJ796" s="240"/>
      <c r="AK796" s="240"/>
      <c r="AL796" s="240"/>
      <c r="AM796" s="240"/>
      <c r="AN796" s="240"/>
    </row>
    <row r="797" ht="15.75" customHeight="1">
      <c r="A797" s="145"/>
      <c r="B797" s="145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  <c r="AA797" s="240"/>
      <c r="AB797" s="240"/>
      <c r="AC797" s="240"/>
      <c r="AD797" s="240"/>
      <c r="AE797" s="240"/>
      <c r="AF797" s="240"/>
      <c r="AG797" s="240"/>
      <c r="AH797" s="240"/>
      <c r="AI797" s="240"/>
      <c r="AJ797" s="240"/>
      <c r="AK797" s="240"/>
      <c r="AL797" s="240"/>
      <c r="AM797" s="240"/>
      <c r="AN797" s="240"/>
    </row>
    <row r="798" ht="15.75" customHeight="1">
      <c r="A798" s="145"/>
      <c r="B798" s="145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  <c r="AA798" s="240"/>
      <c r="AB798" s="240"/>
      <c r="AC798" s="240"/>
      <c r="AD798" s="240"/>
      <c r="AE798" s="240"/>
      <c r="AF798" s="240"/>
      <c r="AG798" s="240"/>
      <c r="AH798" s="240"/>
      <c r="AI798" s="240"/>
      <c r="AJ798" s="240"/>
      <c r="AK798" s="240"/>
      <c r="AL798" s="240"/>
      <c r="AM798" s="240"/>
      <c r="AN798" s="240"/>
    </row>
    <row r="799" ht="15.75" customHeight="1">
      <c r="A799" s="145"/>
      <c r="B799" s="145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  <c r="AA799" s="240"/>
      <c r="AB799" s="240"/>
      <c r="AC799" s="240"/>
      <c r="AD799" s="240"/>
      <c r="AE799" s="240"/>
      <c r="AF799" s="240"/>
      <c r="AG799" s="240"/>
      <c r="AH799" s="240"/>
      <c r="AI799" s="240"/>
      <c r="AJ799" s="240"/>
      <c r="AK799" s="240"/>
      <c r="AL799" s="240"/>
      <c r="AM799" s="240"/>
      <c r="AN799" s="240"/>
    </row>
    <row r="800" ht="15.75" customHeight="1">
      <c r="A800" s="145"/>
      <c r="B800" s="145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  <c r="AA800" s="240"/>
      <c r="AB800" s="240"/>
      <c r="AC800" s="240"/>
      <c r="AD800" s="240"/>
      <c r="AE800" s="240"/>
      <c r="AF800" s="240"/>
      <c r="AG800" s="240"/>
      <c r="AH800" s="240"/>
      <c r="AI800" s="240"/>
      <c r="AJ800" s="240"/>
      <c r="AK800" s="240"/>
      <c r="AL800" s="240"/>
      <c r="AM800" s="240"/>
      <c r="AN800" s="240"/>
    </row>
    <row r="801" ht="15.75" customHeight="1">
      <c r="A801" s="145"/>
      <c r="B801" s="145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  <c r="AA801" s="240"/>
      <c r="AB801" s="240"/>
      <c r="AC801" s="240"/>
      <c r="AD801" s="240"/>
      <c r="AE801" s="240"/>
      <c r="AF801" s="240"/>
      <c r="AG801" s="240"/>
      <c r="AH801" s="240"/>
      <c r="AI801" s="240"/>
      <c r="AJ801" s="240"/>
      <c r="AK801" s="240"/>
      <c r="AL801" s="240"/>
      <c r="AM801" s="240"/>
      <c r="AN801" s="240"/>
    </row>
    <row r="802" ht="15.75" customHeight="1">
      <c r="A802" s="145"/>
      <c r="B802" s="145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  <c r="AA802" s="240"/>
      <c r="AB802" s="240"/>
      <c r="AC802" s="240"/>
      <c r="AD802" s="240"/>
      <c r="AE802" s="240"/>
      <c r="AF802" s="240"/>
      <c r="AG802" s="240"/>
      <c r="AH802" s="240"/>
      <c r="AI802" s="240"/>
      <c r="AJ802" s="240"/>
      <c r="AK802" s="240"/>
      <c r="AL802" s="240"/>
      <c r="AM802" s="240"/>
      <c r="AN802" s="240"/>
    </row>
    <row r="803" ht="15.75" customHeight="1">
      <c r="A803" s="145"/>
      <c r="B803" s="145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  <c r="AA803" s="240"/>
      <c r="AB803" s="240"/>
      <c r="AC803" s="240"/>
      <c r="AD803" s="240"/>
      <c r="AE803" s="240"/>
      <c r="AF803" s="240"/>
      <c r="AG803" s="240"/>
      <c r="AH803" s="240"/>
      <c r="AI803" s="240"/>
      <c r="AJ803" s="240"/>
      <c r="AK803" s="240"/>
      <c r="AL803" s="240"/>
      <c r="AM803" s="240"/>
      <c r="AN803" s="240"/>
    </row>
    <row r="804" ht="15.75" customHeight="1">
      <c r="A804" s="145"/>
      <c r="B804" s="145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  <c r="AA804" s="240"/>
      <c r="AB804" s="240"/>
      <c r="AC804" s="240"/>
      <c r="AD804" s="240"/>
      <c r="AE804" s="240"/>
      <c r="AF804" s="240"/>
      <c r="AG804" s="240"/>
      <c r="AH804" s="240"/>
      <c r="AI804" s="240"/>
      <c r="AJ804" s="240"/>
      <c r="AK804" s="240"/>
      <c r="AL804" s="240"/>
      <c r="AM804" s="240"/>
      <c r="AN804" s="240"/>
    </row>
    <row r="805" ht="15.75" customHeight="1">
      <c r="A805" s="145"/>
      <c r="B805" s="145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  <c r="AA805" s="240"/>
      <c r="AB805" s="240"/>
      <c r="AC805" s="240"/>
      <c r="AD805" s="240"/>
      <c r="AE805" s="240"/>
      <c r="AF805" s="240"/>
      <c r="AG805" s="240"/>
      <c r="AH805" s="240"/>
      <c r="AI805" s="240"/>
      <c r="AJ805" s="240"/>
      <c r="AK805" s="240"/>
      <c r="AL805" s="240"/>
      <c r="AM805" s="240"/>
      <c r="AN805" s="240"/>
    </row>
    <row r="806" ht="15.75" customHeight="1">
      <c r="A806" s="145"/>
      <c r="B806" s="145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  <c r="AA806" s="240"/>
      <c r="AB806" s="240"/>
      <c r="AC806" s="240"/>
      <c r="AD806" s="240"/>
      <c r="AE806" s="240"/>
      <c r="AF806" s="240"/>
      <c r="AG806" s="240"/>
      <c r="AH806" s="240"/>
      <c r="AI806" s="240"/>
      <c r="AJ806" s="240"/>
      <c r="AK806" s="240"/>
      <c r="AL806" s="240"/>
      <c r="AM806" s="240"/>
      <c r="AN806" s="240"/>
    </row>
    <row r="807" ht="15.75" customHeight="1">
      <c r="A807" s="145"/>
      <c r="B807" s="145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  <c r="AA807" s="240"/>
      <c r="AB807" s="240"/>
      <c r="AC807" s="240"/>
      <c r="AD807" s="240"/>
      <c r="AE807" s="240"/>
      <c r="AF807" s="240"/>
      <c r="AG807" s="240"/>
      <c r="AH807" s="240"/>
      <c r="AI807" s="240"/>
      <c r="AJ807" s="240"/>
      <c r="AK807" s="240"/>
      <c r="AL807" s="240"/>
      <c r="AM807" s="240"/>
      <c r="AN807" s="240"/>
    </row>
    <row r="808" ht="15.75" customHeight="1">
      <c r="A808" s="145"/>
      <c r="B808" s="145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  <c r="AA808" s="240"/>
      <c r="AB808" s="240"/>
      <c r="AC808" s="240"/>
      <c r="AD808" s="240"/>
      <c r="AE808" s="240"/>
      <c r="AF808" s="240"/>
      <c r="AG808" s="240"/>
      <c r="AH808" s="240"/>
      <c r="AI808" s="240"/>
      <c r="AJ808" s="240"/>
      <c r="AK808" s="240"/>
      <c r="AL808" s="240"/>
      <c r="AM808" s="240"/>
      <c r="AN808" s="240"/>
    </row>
    <row r="809" ht="15.75" customHeight="1">
      <c r="A809" s="145"/>
      <c r="B809" s="145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  <c r="AA809" s="240"/>
      <c r="AB809" s="240"/>
      <c r="AC809" s="240"/>
      <c r="AD809" s="240"/>
      <c r="AE809" s="240"/>
      <c r="AF809" s="240"/>
      <c r="AG809" s="240"/>
      <c r="AH809" s="240"/>
      <c r="AI809" s="240"/>
      <c r="AJ809" s="240"/>
      <c r="AK809" s="240"/>
      <c r="AL809" s="240"/>
      <c r="AM809" s="240"/>
      <c r="AN809" s="240"/>
    </row>
    <row r="810" ht="15.75" customHeight="1">
      <c r="A810" s="145"/>
      <c r="B810" s="145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  <c r="AA810" s="240"/>
      <c r="AB810" s="240"/>
      <c r="AC810" s="240"/>
      <c r="AD810" s="240"/>
      <c r="AE810" s="240"/>
      <c r="AF810" s="240"/>
      <c r="AG810" s="240"/>
      <c r="AH810" s="240"/>
      <c r="AI810" s="240"/>
      <c r="AJ810" s="240"/>
      <c r="AK810" s="240"/>
      <c r="AL810" s="240"/>
      <c r="AM810" s="240"/>
      <c r="AN810" s="240"/>
    </row>
    <row r="811" ht="15.75" customHeight="1">
      <c r="A811" s="145"/>
      <c r="B811" s="145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  <c r="AA811" s="240"/>
      <c r="AB811" s="240"/>
      <c r="AC811" s="240"/>
      <c r="AD811" s="240"/>
      <c r="AE811" s="240"/>
      <c r="AF811" s="240"/>
      <c r="AG811" s="240"/>
      <c r="AH811" s="240"/>
      <c r="AI811" s="240"/>
      <c r="AJ811" s="240"/>
      <c r="AK811" s="240"/>
      <c r="AL811" s="240"/>
      <c r="AM811" s="240"/>
      <c r="AN811" s="240"/>
    </row>
    <row r="812" ht="15.75" customHeight="1">
      <c r="A812" s="145"/>
      <c r="B812" s="145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  <c r="AA812" s="240"/>
      <c r="AB812" s="240"/>
      <c r="AC812" s="240"/>
      <c r="AD812" s="240"/>
      <c r="AE812" s="240"/>
      <c r="AF812" s="240"/>
      <c r="AG812" s="240"/>
      <c r="AH812" s="240"/>
      <c r="AI812" s="240"/>
      <c r="AJ812" s="240"/>
      <c r="AK812" s="240"/>
      <c r="AL812" s="240"/>
      <c r="AM812" s="240"/>
      <c r="AN812" s="240"/>
    </row>
    <row r="813" ht="15.75" customHeight="1">
      <c r="A813" s="145"/>
      <c r="B813" s="145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  <c r="AA813" s="240"/>
      <c r="AB813" s="240"/>
      <c r="AC813" s="240"/>
      <c r="AD813" s="240"/>
      <c r="AE813" s="240"/>
      <c r="AF813" s="240"/>
      <c r="AG813" s="240"/>
      <c r="AH813" s="240"/>
      <c r="AI813" s="240"/>
      <c r="AJ813" s="240"/>
      <c r="AK813" s="240"/>
      <c r="AL813" s="240"/>
      <c r="AM813" s="240"/>
      <c r="AN813" s="240"/>
    </row>
    <row r="814" ht="15.75" customHeight="1">
      <c r="A814" s="145"/>
      <c r="B814" s="145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  <c r="AA814" s="240"/>
      <c r="AB814" s="240"/>
      <c r="AC814" s="240"/>
      <c r="AD814" s="240"/>
      <c r="AE814" s="240"/>
      <c r="AF814" s="240"/>
      <c r="AG814" s="240"/>
      <c r="AH814" s="240"/>
      <c r="AI814" s="240"/>
      <c r="AJ814" s="240"/>
      <c r="AK814" s="240"/>
      <c r="AL814" s="240"/>
      <c r="AM814" s="240"/>
      <c r="AN814" s="240"/>
    </row>
    <row r="815" ht="15.75" customHeight="1">
      <c r="A815" s="145"/>
      <c r="B815" s="145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  <c r="AA815" s="240"/>
      <c r="AB815" s="240"/>
      <c r="AC815" s="240"/>
      <c r="AD815" s="240"/>
      <c r="AE815" s="240"/>
      <c r="AF815" s="240"/>
      <c r="AG815" s="240"/>
      <c r="AH815" s="240"/>
      <c r="AI815" s="240"/>
      <c r="AJ815" s="240"/>
      <c r="AK815" s="240"/>
      <c r="AL815" s="240"/>
      <c r="AM815" s="240"/>
      <c r="AN815" s="240"/>
    </row>
    <row r="816" ht="15.75" customHeight="1">
      <c r="A816" s="145"/>
      <c r="B816" s="145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  <c r="AA816" s="240"/>
      <c r="AB816" s="240"/>
      <c r="AC816" s="240"/>
      <c r="AD816" s="240"/>
      <c r="AE816" s="240"/>
      <c r="AF816" s="240"/>
      <c r="AG816" s="240"/>
      <c r="AH816" s="240"/>
      <c r="AI816" s="240"/>
      <c r="AJ816" s="240"/>
      <c r="AK816" s="240"/>
      <c r="AL816" s="240"/>
      <c r="AM816" s="240"/>
      <c r="AN816" s="240"/>
    </row>
    <row r="817" ht="15.75" customHeight="1">
      <c r="A817" s="145"/>
      <c r="B817" s="145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  <c r="AA817" s="240"/>
      <c r="AB817" s="240"/>
      <c r="AC817" s="240"/>
      <c r="AD817" s="240"/>
      <c r="AE817" s="240"/>
      <c r="AF817" s="240"/>
      <c r="AG817" s="240"/>
      <c r="AH817" s="240"/>
      <c r="AI817" s="240"/>
      <c r="AJ817" s="240"/>
      <c r="AK817" s="240"/>
      <c r="AL817" s="240"/>
      <c r="AM817" s="240"/>
      <c r="AN817" s="240"/>
    </row>
    <row r="818" ht="15.75" customHeight="1">
      <c r="A818" s="145"/>
      <c r="B818" s="145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  <c r="AA818" s="240"/>
      <c r="AB818" s="240"/>
      <c r="AC818" s="240"/>
      <c r="AD818" s="240"/>
      <c r="AE818" s="240"/>
      <c r="AF818" s="240"/>
      <c r="AG818" s="240"/>
      <c r="AH818" s="240"/>
      <c r="AI818" s="240"/>
      <c r="AJ818" s="240"/>
      <c r="AK818" s="240"/>
      <c r="AL818" s="240"/>
      <c r="AM818" s="240"/>
      <c r="AN818" s="240"/>
    </row>
    <row r="819" ht="15.75" customHeight="1">
      <c r="A819" s="145"/>
      <c r="B819" s="145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  <c r="AA819" s="240"/>
      <c r="AB819" s="240"/>
      <c r="AC819" s="240"/>
      <c r="AD819" s="240"/>
      <c r="AE819" s="240"/>
      <c r="AF819" s="240"/>
      <c r="AG819" s="240"/>
      <c r="AH819" s="240"/>
      <c r="AI819" s="240"/>
      <c r="AJ819" s="240"/>
      <c r="AK819" s="240"/>
      <c r="AL819" s="240"/>
      <c r="AM819" s="240"/>
      <c r="AN819" s="240"/>
    </row>
    <row r="820" ht="15.75" customHeight="1">
      <c r="A820" s="145"/>
      <c r="B820" s="145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  <c r="AA820" s="240"/>
      <c r="AB820" s="240"/>
      <c r="AC820" s="240"/>
      <c r="AD820" s="240"/>
      <c r="AE820" s="240"/>
      <c r="AF820" s="240"/>
      <c r="AG820" s="240"/>
      <c r="AH820" s="240"/>
      <c r="AI820" s="240"/>
      <c r="AJ820" s="240"/>
      <c r="AK820" s="240"/>
      <c r="AL820" s="240"/>
      <c r="AM820" s="240"/>
      <c r="AN820" s="240"/>
    </row>
    <row r="821" ht="15.75" customHeight="1">
      <c r="A821" s="145"/>
      <c r="B821" s="145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  <c r="AA821" s="240"/>
      <c r="AB821" s="240"/>
      <c r="AC821" s="240"/>
      <c r="AD821" s="240"/>
      <c r="AE821" s="240"/>
      <c r="AF821" s="240"/>
      <c r="AG821" s="240"/>
      <c r="AH821" s="240"/>
      <c r="AI821" s="240"/>
      <c r="AJ821" s="240"/>
      <c r="AK821" s="240"/>
      <c r="AL821" s="240"/>
      <c r="AM821" s="240"/>
      <c r="AN821" s="240"/>
    </row>
    <row r="822" ht="15.75" customHeight="1">
      <c r="A822" s="145"/>
      <c r="B822" s="145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  <c r="AA822" s="240"/>
      <c r="AB822" s="240"/>
      <c r="AC822" s="240"/>
      <c r="AD822" s="240"/>
      <c r="AE822" s="240"/>
      <c r="AF822" s="240"/>
      <c r="AG822" s="240"/>
      <c r="AH822" s="240"/>
      <c r="AI822" s="240"/>
      <c r="AJ822" s="240"/>
      <c r="AK822" s="240"/>
      <c r="AL822" s="240"/>
      <c r="AM822" s="240"/>
      <c r="AN822" s="240"/>
    </row>
    <row r="823" ht="15.75" customHeight="1">
      <c r="A823" s="145"/>
      <c r="B823" s="145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  <c r="AA823" s="240"/>
      <c r="AB823" s="240"/>
      <c r="AC823" s="240"/>
      <c r="AD823" s="240"/>
      <c r="AE823" s="240"/>
      <c r="AF823" s="240"/>
      <c r="AG823" s="240"/>
      <c r="AH823" s="240"/>
      <c r="AI823" s="240"/>
      <c r="AJ823" s="240"/>
      <c r="AK823" s="240"/>
      <c r="AL823" s="240"/>
      <c r="AM823" s="240"/>
      <c r="AN823" s="240"/>
    </row>
    <row r="824" ht="15.75" customHeight="1">
      <c r="A824" s="145"/>
      <c r="B824" s="145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  <c r="AA824" s="240"/>
      <c r="AB824" s="240"/>
      <c r="AC824" s="240"/>
      <c r="AD824" s="240"/>
      <c r="AE824" s="240"/>
      <c r="AF824" s="240"/>
      <c r="AG824" s="240"/>
      <c r="AH824" s="240"/>
      <c r="AI824" s="240"/>
      <c r="AJ824" s="240"/>
      <c r="AK824" s="240"/>
      <c r="AL824" s="240"/>
      <c r="AM824" s="240"/>
      <c r="AN824" s="240"/>
    </row>
    <row r="825" ht="15.75" customHeight="1">
      <c r="A825" s="145"/>
      <c r="B825" s="145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  <c r="AA825" s="240"/>
      <c r="AB825" s="240"/>
      <c r="AC825" s="240"/>
      <c r="AD825" s="240"/>
      <c r="AE825" s="240"/>
      <c r="AF825" s="240"/>
      <c r="AG825" s="240"/>
      <c r="AH825" s="240"/>
      <c r="AI825" s="240"/>
      <c r="AJ825" s="240"/>
      <c r="AK825" s="240"/>
      <c r="AL825" s="240"/>
      <c r="AM825" s="240"/>
      <c r="AN825" s="240"/>
    </row>
    <row r="826" ht="15.75" customHeight="1">
      <c r="A826" s="145"/>
      <c r="B826" s="145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  <c r="AA826" s="240"/>
      <c r="AB826" s="240"/>
      <c r="AC826" s="240"/>
      <c r="AD826" s="240"/>
      <c r="AE826" s="240"/>
      <c r="AF826" s="240"/>
      <c r="AG826" s="240"/>
      <c r="AH826" s="240"/>
      <c r="AI826" s="240"/>
      <c r="AJ826" s="240"/>
      <c r="AK826" s="240"/>
      <c r="AL826" s="240"/>
      <c r="AM826" s="240"/>
      <c r="AN826" s="240"/>
    </row>
    <row r="827" ht="15.75" customHeight="1">
      <c r="A827" s="145"/>
      <c r="B827" s="145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  <c r="AA827" s="240"/>
      <c r="AB827" s="240"/>
      <c r="AC827" s="240"/>
      <c r="AD827" s="240"/>
      <c r="AE827" s="240"/>
      <c r="AF827" s="240"/>
      <c r="AG827" s="240"/>
      <c r="AH827" s="240"/>
      <c r="AI827" s="240"/>
      <c r="AJ827" s="240"/>
      <c r="AK827" s="240"/>
      <c r="AL827" s="240"/>
      <c r="AM827" s="240"/>
      <c r="AN827" s="240"/>
    </row>
    <row r="828" ht="15.75" customHeight="1">
      <c r="A828" s="145"/>
      <c r="B828" s="145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  <c r="AA828" s="240"/>
      <c r="AB828" s="240"/>
      <c r="AC828" s="240"/>
      <c r="AD828" s="240"/>
      <c r="AE828" s="240"/>
      <c r="AF828" s="240"/>
      <c r="AG828" s="240"/>
      <c r="AH828" s="240"/>
      <c r="AI828" s="240"/>
      <c r="AJ828" s="240"/>
      <c r="AK828" s="240"/>
      <c r="AL828" s="240"/>
      <c r="AM828" s="240"/>
      <c r="AN828" s="240"/>
    </row>
    <row r="829" ht="15.75" customHeight="1">
      <c r="A829" s="145"/>
      <c r="B829" s="145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  <c r="AA829" s="240"/>
      <c r="AB829" s="240"/>
      <c r="AC829" s="240"/>
      <c r="AD829" s="240"/>
      <c r="AE829" s="240"/>
      <c r="AF829" s="240"/>
      <c r="AG829" s="240"/>
      <c r="AH829" s="240"/>
      <c r="AI829" s="240"/>
      <c r="AJ829" s="240"/>
      <c r="AK829" s="240"/>
      <c r="AL829" s="240"/>
      <c r="AM829" s="240"/>
      <c r="AN829" s="240"/>
    </row>
    <row r="830" ht="15.75" customHeight="1">
      <c r="A830" s="145"/>
      <c r="B830" s="145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  <c r="AA830" s="240"/>
      <c r="AB830" s="240"/>
      <c r="AC830" s="240"/>
      <c r="AD830" s="240"/>
      <c r="AE830" s="240"/>
      <c r="AF830" s="240"/>
      <c r="AG830" s="240"/>
      <c r="AH830" s="240"/>
      <c r="AI830" s="240"/>
      <c r="AJ830" s="240"/>
      <c r="AK830" s="240"/>
      <c r="AL830" s="240"/>
      <c r="AM830" s="240"/>
      <c r="AN830" s="240"/>
    </row>
    <row r="831" ht="15.75" customHeight="1">
      <c r="A831" s="145"/>
      <c r="B831" s="145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  <c r="AA831" s="240"/>
      <c r="AB831" s="240"/>
      <c r="AC831" s="240"/>
      <c r="AD831" s="240"/>
      <c r="AE831" s="240"/>
      <c r="AF831" s="240"/>
      <c r="AG831" s="240"/>
      <c r="AH831" s="240"/>
      <c r="AI831" s="240"/>
      <c r="AJ831" s="240"/>
      <c r="AK831" s="240"/>
      <c r="AL831" s="240"/>
      <c r="AM831" s="240"/>
      <c r="AN831" s="240"/>
    </row>
    <row r="832" ht="15.75" customHeight="1">
      <c r="A832" s="145"/>
      <c r="B832" s="145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  <c r="AA832" s="240"/>
      <c r="AB832" s="240"/>
      <c r="AC832" s="240"/>
      <c r="AD832" s="240"/>
      <c r="AE832" s="240"/>
      <c r="AF832" s="240"/>
      <c r="AG832" s="240"/>
      <c r="AH832" s="240"/>
      <c r="AI832" s="240"/>
      <c r="AJ832" s="240"/>
      <c r="AK832" s="240"/>
      <c r="AL832" s="240"/>
      <c r="AM832" s="240"/>
      <c r="AN832" s="240"/>
    </row>
    <row r="833" ht="15.75" customHeight="1">
      <c r="A833" s="145"/>
      <c r="B833" s="145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  <c r="AA833" s="240"/>
      <c r="AB833" s="240"/>
      <c r="AC833" s="240"/>
      <c r="AD833" s="240"/>
      <c r="AE833" s="240"/>
      <c r="AF833" s="240"/>
      <c r="AG833" s="240"/>
      <c r="AH833" s="240"/>
      <c r="AI833" s="240"/>
      <c r="AJ833" s="240"/>
      <c r="AK833" s="240"/>
      <c r="AL833" s="240"/>
      <c r="AM833" s="240"/>
      <c r="AN833" s="240"/>
    </row>
    <row r="834" ht="15.75" customHeight="1">
      <c r="A834" s="145"/>
      <c r="B834" s="145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  <c r="AA834" s="240"/>
      <c r="AB834" s="240"/>
      <c r="AC834" s="240"/>
      <c r="AD834" s="240"/>
      <c r="AE834" s="240"/>
      <c r="AF834" s="240"/>
      <c r="AG834" s="240"/>
      <c r="AH834" s="240"/>
      <c r="AI834" s="240"/>
      <c r="AJ834" s="240"/>
      <c r="AK834" s="240"/>
      <c r="AL834" s="240"/>
      <c r="AM834" s="240"/>
      <c r="AN834" s="240"/>
    </row>
    <row r="835" ht="15.75" customHeight="1">
      <c r="A835" s="145"/>
      <c r="B835" s="145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  <c r="AA835" s="240"/>
      <c r="AB835" s="240"/>
      <c r="AC835" s="240"/>
      <c r="AD835" s="240"/>
      <c r="AE835" s="240"/>
      <c r="AF835" s="240"/>
      <c r="AG835" s="240"/>
      <c r="AH835" s="240"/>
      <c r="AI835" s="240"/>
      <c r="AJ835" s="240"/>
      <c r="AK835" s="240"/>
      <c r="AL835" s="240"/>
      <c r="AM835" s="240"/>
      <c r="AN835" s="240"/>
    </row>
    <row r="836" ht="15.75" customHeight="1">
      <c r="A836" s="145"/>
      <c r="B836" s="145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  <c r="AA836" s="240"/>
      <c r="AB836" s="240"/>
      <c r="AC836" s="240"/>
      <c r="AD836" s="240"/>
      <c r="AE836" s="240"/>
      <c r="AF836" s="240"/>
      <c r="AG836" s="240"/>
      <c r="AH836" s="240"/>
      <c r="AI836" s="240"/>
      <c r="AJ836" s="240"/>
      <c r="AK836" s="240"/>
      <c r="AL836" s="240"/>
      <c r="AM836" s="240"/>
      <c r="AN836" s="240"/>
    </row>
    <row r="837" ht="15.75" customHeight="1">
      <c r="A837" s="145"/>
      <c r="B837" s="145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  <c r="AA837" s="240"/>
      <c r="AB837" s="240"/>
      <c r="AC837" s="240"/>
      <c r="AD837" s="240"/>
      <c r="AE837" s="240"/>
      <c r="AF837" s="240"/>
      <c r="AG837" s="240"/>
      <c r="AH837" s="240"/>
      <c r="AI837" s="240"/>
      <c r="AJ837" s="240"/>
      <c r="AK837" s="240"/>
      <c r="AL837" s="240"/>
      <c r="AM837" s="240"/>
      <c r="AN837" s="240"/>
    </row>
    <row r="838" ht="15.75" customHeight="1">
      <c r="A838" s="145"/>
      <c r="B838" s="145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  <c r="AA838" s="240"/>
      <c r="AB838" s="240"/>
      <c r="AC838" s="240"/>
      <c r="AD838" s="240"/>
      <c r="AE838" s="240"/>
      <c r="AF838" s="240"/>
      <c r="AG838" s="240"/>
      <c r="AH838" s="240"/>
      <c r="AI838" s="240"/>
      <c r="AJ838" s="240"/>
      <c r="AK838" s="240"/>
      <c r="AL838" s="240"/>
      <c r="AM838" s="240"/>
      <c r="AN838" s="240"/>
    </row>
    <row r="839" ht="15.75" customHeight="1">
      <c r="A839" s="145"/>
      <c r="B839" s="145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  <c r="AA839" s="240"/>
      <c r="AB839" s="240"/>
      <c r="AC839" s="240"/>
      <c r="AD839" s="240"/>
      <c r="AE839" s="240"/>
      <c r="AF839" s="240"/>
      <c r="AG839" s="240"/>
      <c r="AH839" s="240"/>
      <c r="AI839" s="240"/>
      <c r="AJ839" s="240"/>
      <c r="AK839" s="240"/>
      <c r="AL839" s="240"/>
      <c r="AM839" s="240"/>
      <c r="AN839" s="240"/>
    </row>
    <row r="840" ht="15.75" customHeight="1">
      <c r="A840" s="145"/>
      <c r="B840" s="145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  <c r="AA840" s="240"/>
      <c r="AB840" s="240"/>
      <c r="AC840" s="240"/>
      <c r="AD840" s="240"/>
      <c r="AE840" s="240"/>
      <c r="AF840" s="240"/>
      <c r="AG840" s="240"/>
      <c r="AH840" s="240"/>
      <c r="AI840" s="240"/>
      <c r="AJ840" s="240"/>
      <c r="AK840" s="240"/>
      <c r="AL840" s="240"/>
      <c r="AM840" s="240"/>
      <c r="AN840" s="240"/>
    </row>
    <row r="841" ht="15.75" customHeight="1">
      <c r="A841" s="145"/>
      <c r="B841" s="145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  <c r="AA841" s="240"/>
      <c r="AB841" s="240"/>
      <c r="AC841" s="240"/>
      <c r="AD841" s="240"/>
      <c r="AE841" s="240"/>
      <c r="AF841" s="240"/>
      <c r="AG841" s="240"/>
      <c r="AH841" s="240"/>
      <c r="AI841" s="240"/>
      <c r="AJ841" s="240"/>
      <c r="AK841" s="240"/>
      <c r="AL841" s="240"/>
      <c r="AM841" s="240"/>
      <c r="AN841" s="240"/>
    </row>
    <row r="842" ht="15.75" customHeight="1">
      <c r="A842" s="145"/>
      <c r="B842" s="145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  <c r="AA842" s="240"/>
      <c r="AB842" s="240"/>
      <c r="AC842" s="240"/>
      <c r="AD842" s="240"/>
      <c r="AE842" s="240"/>
      <c r="AF842" s="240"/>
      <c r="AG842" s="240"/>
      <c r="AH842" s="240"/>
      <c r="AI842" s="240"/>
      <c r="AJ842" s="240"/>
      <c r="AK842" s="240"/>
      <c r="AL842" s="240"/>
      <c r="AM842" s="240"/>
      <c r="AN842" s="240"/>
    </row>
    <row r="843" ht="15.75" customHeight="1">
      <c r="A843" s="145"/>
      <c r="B843" s="145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  <c r="AA843" s="240"/>
      <c r="AB843" s="240"/>
      <c r="AC843" s="240"/>
      <c r="AD843" s="240"/>
      <c r="AE843" s="240"/>
      <c r="AF843" s="240"/>
      <c r="AG843" s="240"/>
      <c r="AH843" s="240"/>
      <c r="AI843" s="240"/>
      <c r="AJ843" s="240"/>
      <c r="AK843" s="240"/>
      <c r="AL843" s="240"/>
      <c r="AM843" s="240"/>
      <c r="AN843" s="240"/>
    </row>
    <row r="844" ht="15.75" customHeight="1">
      <c r="A844" s="145"/>
      <c r="B844" s="145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  <c r="AA844" s="240"/>
      <c r="AB844" s="240"/>
      <c r="AC844" s="240"/>
      <c r="AD844" s="240"/>
      <c r="AE844" s="240"/>
      <c r="AF844" s="240"/>
      <c r="AG844" s="240"/>
      <c r="AH844" s="240"/>
      <c r="AI844" s="240"/>
      <c r="AJ844" s="240"/>
      <c r="AK844" s="240"/>
      <c r="AL844" s="240"/>
      <c r="AM844" s="240"/>
      <c r="AN844" s="240"/>
    </row>
    <row r="845" ht="15.75" customHeight="1">
      <c r="A845" s="145"/>
      <c r="B845" s="145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  <c r="AA845" s="240"/>
      <c r="AB845" s="240"/>
      <c r="AC845" s="240"/>
      <c r="AD845" s="240"/>
      <c r="AE845" s="240"/>
      <c r="AF845" s="240"/>
      <c r="AG845" s="240"/>
      <c r="AH845" s="240"/>
      <c r="AI845" s="240"/>
      <c r="AJ845" s="240"/>
      <c r="AK845" s="240"/>
      <c r="AL845" s="240"/>
      <c r="AM845" s="240"/>
      <c r="AN845" s="240"/>
    </row>
    <row r="846" ht="15.75" customHeight="1">
      <c r="A846" s="145"/>
      <c r="B846" s="145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  <c r="AA846" s="240"/>
      <c r="AB846" s="240"/>
      <c r="AC846" s="240"/>
      <c r="AD846" s="240"/>
      <c r="AE846" s="240"/>
      <c r="AF846" s="240"/>
      <c r="AG846" s="240"/>
      <c r="AH846" s="240"/>
      <c r="AI846" s="240"/>
      <c r="AJ846" s="240"/>
      <c r="AK846" s="240"/>
      <c r="AL846" s="240"/>
      <c r="AM846" s="240"/>
      <c r="AN846" s="240"/>
    </row>
    <row r="847" ht="15.75" customHeight="1">
      <c r="A847" s="145"/>
      <c r="B847" s="145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  <c r="AA847" s="240"/>
      <c r="AB847" s="240"/>
      <c r="AC847" s="240"/>
      <c r="AD847" s="240"/>
      <c r="AE847" s="240"/>
      <c r="AF847" s="240"/>
      <c r="AG847" s="240"/>
      <c r="AH847" s="240"/>
      <c r="AI847" s="240"/>
      <c r="AJ847" s="240"/>
      <c r="AK847" s="240"/>
      <c r="AL847" s="240"/>
      <c r="AM847" s="240"/>
      <c r="AN847" s="240"/>
    </row>
    <row r="848" ht="15.75" customHeight="1">
      <c r="A848" s="145"/>
      <c r="B848" s="145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  <c r="AA848" s="240"/>
      <c r="AB848" s="240"/>
      <c r="AC848" s="240"/>
      <c r="AD848" s="240"/>
      <c r="AE848" s="240"/>
      <c r="AF848" s="240"/>
      <c r="AG848" s="240"/>
      <c r="AH848" s="240"/>
      <c r="AI848" s="240"/>
      <c r="AJ848" s="240"/>
      <c r="AK848" s="240"/>
      <c r="AL848" s="240"/>
      <c r="AM848" s="240"/>
      <c r="AN848" s="240"/>
    </row>
    <row r="849" ht="15.75" customHeight="1">
      <c r="A849" s="145"/>
      <c r="B849" s="145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  <c r="AA849" s="240"/>
      <c r="AB849" s="240"/>
      <c r="AC849" s="240"/>
      <c r="AD849" s="240"/>
      <c r="AE849" s="240"/>
      <c r="AF849" s="240"/>
      <c r="AG849" s="240"/>
      <c r="AH849" s="240"/>
      <c r="AI849" s="240"/>
      <c r="AJ849" s="240"/>
      <c r="AK849" s="240"/>
      <c r="AL849" s="240"/>
      <c r="AM849" s="240"/>
      <c r="AN849" s="240"/>
    </row>
    <row r="850" ht="15.75" customHeight="1">
      <c r="A850" s="145"/>
      <c r="B850" s="145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  <c r="AA850" s="240"/>
      <c r="AB850" s="240"/>
      <c r="AC850" s="240"/>
      <c r="AD850" s="240"/>
      <c r="AE850" s="240"/>
      <c r="AF850" s="240"/>
      <c r="AG850" s="240"/>
      <c r="AH850" s="240"/>
      <c r="AI850" s="240"/>
      <c r="AJ850" s="240"/>
      <c r="AK850" s="240"/>
      <c r="AL850" s="240"/>
      <c r="AM850" s="240"/>
      <c r="AN850" s="240"/>
    </row>
    <row r="851" ht="15.75" customHeight="1">
      <c r="A851" s="145"/>
      <c r="B851" s="145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  <c r="AA851" s="240"/>
      <c r="AB851" s="240"/>
      <c r="AC851" s="240"/>
      <c r="AD851" s="240"/>
      <c r="AE851" s="240"/>
      <c r="AF851" s="240"/>
      <c r="AG851" s="240"/>
      <c r="AH851" s="240"/>
      <c r="AI851" s="240"/>
      <c r="AJ851" s="240"/>
      <c r="AK851" s="240"/>
      <c r="AL851" s="240"/>
      <c r="AM851" s="240"/>
      <c r="AN851" s="240"/>
    </row>
    <row r="852" ht="15.75" customHeight="1">
      <c r="A852" s="145"/>
      <c r="B852" s="145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  <c r="AA852" s="240"/>
      <c r="AB852" s="240"/>
      <c r="AC852" s="240"/>
      <c r="AD852" s="240"/>
      <c r="AE852" s="240"/>
      <c r="AF852" s="240"/>
      <c r="AG852" s="240"/>
      <c r="AH852" s="240"/>
      <c r="AI852" s="240"/>
      <c r="AJ852" s="240"/>
      <c r="AK852" s="240"/>
      <c r="AL852" s="240"/>
      <c r="AM852" s="240"/>
      <c r="AN852" s="240"/>
    </row>
    <row r="853" ht="15.75" customHeight="1">
      <c r="A853" s="145"/>
      <c r="B853" s="145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  <c r="AA853" s="240"/>
      <c r="AB853" s="240"/>
      <c r="AC853" s="240"/>
      <c r="AD853" s="240"/>
      <c r="AE853" s="240"/>
      <c r="AF853" s="240"/>
      <c r="AG853" s="240"/>
      <c r="AH853" s="240"/>
      <c r="AI853" s="240"/>
      <c r="AJ853" s="240"/>
      <c r="AK853" s="240"/>
      <c r="AL853" s="240"/>
      <c r="AM853" s="240"/>
      <c r="AN853" s="240"/>
    </row>
    <row r="854" ht="15.75" customHeight="1">
      <c r="A854" s="145"/>
      <c r="B854" s="145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  <c r="AA854" s="240"/>
      <c r="AB854" s="240"/>
      <c r="AC854" s="240"/>
      <c r="AD854" s="240"/>
      <c r="AE854" s="240"/>
      <c r="AF854" s="240"/>
      <c r="AG854" s="240"/>
      <c r="AH854" s="240"/>
      <c r="AI854" s="240"/>
      <c r="AJ854" s="240"/>
      <c r="AK854" s="240"/>
      <c r="AL854" s="240"/>
      <c r="AM854" s="240"/>
      <c r="AN854" s="240"/>
    </row>
    <row r="855" ht="15.75" customHeight="1">
      <c r="A855" s="145"/>
      <c r="B855" s="145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  <c r="AA855" s="240"/>
      <c r="AB855" s="240"/>
      <c r="AC855" s="240"/>
      <c r="AD855" s="240"/>
      <c r="AE855" s="240"/>
      <c r="AF855" s="240"/>
      <c r="AG855" s="240"/>
      <c r="AH855" s="240"/>
      <c r="AI855" s="240"/>
      <c r="AJ855" s="240"/>
      <c r="AK855" s="240"/>
      <c r="AL855" s="240"/>
      <c r="AM855" s="240"/>
      <c r="AN855" s="240"/>
    </row>
    <row r="856" ht="15.75" customHeight="1">
      <c r="A856" s="145"/>
      <c r="B856" s="145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  <c r="AA856" s="240"/>
      <c r="AB856" s="240"/>
      <c r="AC856" s="240"/>
      <c r="AD856" s="240"/>
      <c r="AE856" s="240"/>
      <c r="AF856" s="240"/>
      <c r="AG856" s="240"/>
      <c r="AH856" s="240"/>
      <c r="AI856" s="240"/>
      <c r="AJ856" s="240"/>
      <c r="AK856" s="240"/>
      <c r="AL856" s="240"/>
      <c r="AM856" s="240"/>
      <c r="AN856" s="240"/>
    </row>
    <row r="857" ht="15.75" customHeight="1">
      <c r="A857" s="145"/>
      <c r="B857" s="145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  <c r="AA857" s="240"/>
      <c r="AB857" s="240"/>
      <c r="AC857" s="240"/>
      <c r="AD857" s="240"/>
      <c r="AE857" s="240"/>
      <c r="AF857" s="240"/>
      <c r="AG857" s="240"/>
      <c r="AH857" s="240"/>
      <c r="AI857" s="240"/>
      <c r="AJ857" s="240"/>
      <c r="AK857" s="240"/>
      <c r="AL857" s="240"/>
      <c r="AM857" s="240"/>
      <c r="AN857" s="240"/>
    </row>
    <row r="858" ht="15.75" customHeight="1">
      <c r="A858" s="145"/>
      <c r="B858" s="145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  <c r="AA858" s="240"/>
      <c r="AB858" s="240"/>
      <c r="AC858" s="240"/>
      <c r="AD858" s="240"/>
      <c r="AE858" s="240"/>
      <c r="AF858" s="240"/>
      <c r="AG858" s="240"/>
      <c r="AH858" s="240"/>
      <c r="AI858" s="240"/>
      <c r="AJ858" s="240"/>
      <c r="AK858" s="240"/>
      <c r="AL858" s="240"/>
      <c r="AM858" s="240"/>
      <c r="AN858" s="240"/>
    </row>
    <row r="859" ht="15.75" customHeight="1">
      <c r="A859" s="145"/>
      <c r="B859" s="145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  <c r="AA859" s="240"/>
      <c r="AB859" s="240"/>
      <c r="AC859" s="240"/>
      <c r="AD859" s="240"/>
      <c r="AE859" s="240"/>
      <c r="AF859" s="240"/>
      <c r="AG859" s="240"/>
      <c r="AH859" s="240"/>
      <c r="AI859" s="240"/>
      <c r="AJ859" s="240"/>
      <c r="AK859" s="240"/>
      <c r="AL859" s="240"/>
      <c r="AM859" s="240"/>
      <c r="AN859" s="240"/>
    </row>
    <row r="860" ht="15.75" customHeight="1">
      <c r="A860" s="145"/>
      <c r="B860" s="145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  <c r="AA860" s="240"/>
      <c r="AB860" s="240"/>
      <c r="AC860" s="240"/>
      <c r="AD860" s="240"/>
      <c r="AE860" s="240"/>
      <c r="AF860" s="240"/>
      <c r="AG860" s="240"/>
      <c r="AH860" s="240"/>
      <c r="AI860" s="240"/>
      <c r="AJ860" s="240"/>
      <c r="AK860" s="240"/>
      <c r="AL860" s="240"/>
      <c r="AM860" s="240"/>
      <c r="AN860" s="240"/>
    </row>
    <row r="861" ht="15.75" customHeight="1">
      <c r="A861" s="145"/>
      <c r="B861" s="145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  <c r="AA861" s="240"/>
      <c r="AB861" s="240"/>
      <c r="AC861" s="240"/>
      <c r="AD861" s="240"/>
      <c r="AE861" s="240"/>
      <c r="AF861" s="240"/>
      <c r="AG861" s="240"/>
      <c r="AH861" s="240"/>
      <c r="AI861" s="240"/>
      <c r="AJ861" s="240"/>
      <c r="AK861" s="240"/>
      <c r="AL861" s="240"/>
      <c r="AM861" s="240"/>
      <c r="AN861" s="240"/>
    </row>
    <row r="862" ht="15.75" customHeight="1">
      <c r="A862" s="145"/>
      <c r="B862" s="145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  <c r="AA862" s="240"/>
      <c r="AB862" s="240"/>
      <c r="AC862" s="240"/>
      <c r="AD862" s="240"/>
      <c r="AE862" s="240"/>
      <c r="AF862" s="240"/>
      <c r="AG862" s="240"/>
      <c r="AH862" s="240"/>
      <c r="AI862" s="240"/>
      <c r="AJ862" s="240"/>
      <c r="AK862" s="240"/>
      <c r="AL862" s="240"/>
      <c r="AM862" s="240"/>
      <c r="AN862" s="240"/>
    </row>
    <row r="863" ht="15.75" customHeight="1">
      <c r="A863" s="145"/>
      <c r="B863" s="145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  <c r="AA863" s="240"/>
      <c r="AB863" s="240"/>
      <c r="AC863" s="240"/>
      <c r="AD863" s="240"/>
      <c r="AE863" s="240"/>
      <c r="AF863" s="240"/>
      <c r="AG863" s="240"/>
      <c r="AH863" s="240"/>
      <c r="AI863" s="240"/>
      <c r="AJ863" s="240"/>
      <c r="AK863" s="240"/>
      <c r="AL863" s="240"/>
      <c r="AM863" s="240"/>
      <c r="AN863" s="240"/>
    </row>
    <row r="864" ht="15.75" customHeight="1">
      <c r="A864" s="145"/>
      <c r="B864" s="145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  <c r="AA864" s="240"/>
      <c r="AB864" s="240"/>
      <c r="AC864" s="240"/>
      <c r="AD864" s="240"/>
      <c r="AE864" s="240"/>
      <c r="AF864" s="240"/>
      <c r="AG864" s="240"/>
      <c r="AH864" s="240"/>
      <c r="AI864" s="240"/>
      <c r="AJ864" s="240"/>
      <c r="AK864" s="240"/>
      <c r="AL864" s="240"/>
      <c r="AM864" s="240"/>
      <c r="AN864" s="240"/>
    </row>
    <row r="865" ht="15.75" customHeight="1">
      <c r="A865" s="145"/>
      <c r="B865" s="145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  <c r="AA865" s="240"/>
      <c r="AB865" s="240"/>
      <c r="AC865" s="240"/>
      <c r="AD865" s="240"/>
      <c r="AE865" s="240"/>
      <c r="AF865" s="240"/>
      <c r="AG865" s="240"/>
      <c r="AH865" s="240"/>
      <c r="AI865" s="240"/>
      <c r="AJ865" s="240"/>
      <c r="AK865" s="240"/>
      <c r="AL865" s="240"/>
      <c r="AM865" s="240"/>
      <c r="AN865" s="240"/>
    </row>
    <row r="866" ht="15.75" customHeight="1">
      <c r="A866" s="145"/>
      <c r="B866" s="145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  <c r="AA866" s="240"/>
      <c r="AB866" s="240"/>
      <c r="AC866" s="240"/>
      <c r="AD866" s="240"/>
      <c r="AE866" s="240"/>
      <c r="AF866" s="240"/>
      <c r="AG866" s="240"/>
      <c r="AH866" s="240"/>
      <c r="AI866" s="240"/>
      <c r="AJ866" s="240"/>
      <c r="AK866" s="240"/>
      <c r="AL866" s="240"/>
      <c r="AM866" s="240"/>
      <c r="AN866" s="240"/>
    </row>
    <row r="867" ht="15.75" customHeight="1">
      <c r="A867" s="145"/>
      <c r="B867" s="145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  <c r="AA867" s="240"/>
      <c r="AB867" s="240"/>
      <c r="AC867" s="240"/>
      <c r="AD867" s="240"/>
      <c r="AE867" s="240"/>
      <c r="AF867" s="240"/>
      <c r="AG867" s="240"/>
      <c r="AH867" s="240"/>
      <c r="AI867" s="240"/>
      <c r="AJ867" s="240"/>
      <c r="AK867" s="240"/>
      <c r="AL867" s="240"/>
      <c r="AM867" s="240"/>
      <c r="AN867" s="240"/>
    </row>
    <row r="868" ht="15.75" customHeight="1">
      <c r="A868" s="145"/>
      <c r="B868" s="145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  <c r="AA868" s="240"/>
      <c r="AB868" s="240"/>
      <c r="AC868" s="240"/>
      <c r="AD868" s="240"/>
      <c r="AE868" s="240"/>
      <c r="AF868" s="240"/>
      <c r="AG868" s="240"/>
      <c r="AH868" s="240"/>
      <c r="AI868" s="240"/>
      <c r="AJ868" s="240"/>
      <c r="AK868" s="240"/>
      <c r="AL868" s="240"/>
      <c r="AM868" s="240"/>
      <c r="AN868" s="240"/>
    </row>
    <row r="869" ht="15.75" customHeight="1">
      <c r="A869" s="145"/>
      <c r="B869" s="145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  <c r="AA869" s="240"/>
      <c r="AB869" s="240"/>
      <c r="AC869" s="240"/>
      <c r="AD869" s="240"/>
      <c r="AE869" s="240"/>
      <c r="AF869" s="240"/>
      <c r="AG869" s="240"/>
      <c r="AH869" s="240"/>
      <c r="AI869" s="240"/>
      <c r="AJ869" s="240"/>
      <c r="AK869" s="240"/>
      <c r="AL869" s="240"/>
      <c r="AM869" s="240"/>
      <c r="AN869" s="240"/>
    </row>
    <row r="870" ht="15.75" customHeight="1">
      <c r="A870" s="145"/>
      <c r="B870" s="145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  <c r="AA870" s="240"/>
      <c r="AB870" s="240"/>
      <c r="AC870" s="240"/>
      <c r="AD870" s="240"/>
      <c r="AE870" s="240"/>
      <c r="AF870" s="240"/>
      <c r="AG870" s="240"/>
      <c r="AH870" s="240"/>
      <c r="AI870" s="240"/>
      <c r="AJ870" s="240"/>
      <c r="AK870" s="240"/>
      <c r="AL870" s="240"/>
      <c r="AM870" s="240"/>
      <c r="AN870" s="240"/>
    </row>
    <row r="871" ht="15.75" customHeight="1">
      <c r="A871" s="145"/>
      <c r="B871" s="145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  <c r="AA871" s="240"/>
      <c r="AB871" s="240"/>
      <c r="AC871" s="240"/>
      <c r="AD871" s="240"/>
      <c r="AE871" s="240"/>
      <c r="AF871" s="240"/>
      <c r="AG871" s="240"/>
      <c r="AH871" s="240"/>
      <c r="AI871" s="240"/>
      <c r="AJ871" s="240"/>
      <c r="AK871" s="240"/>
      <c r="AL871" s="240"/>
      <c r="AM871" s="240"/>
      <c r="AN871" s="240"/>
    </row>
    <row r="872" ht="15.75" customHeight="1">
      <c r="A872" s="145"/>
      <c r="B872" s="145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  <c r="AA872" s="240"/>
      <c r="AB872" s="240"/>
      <c r="AC872" s="240"/>
      <c r="AD872" s="240"/>
      <c r="AE872" s="240"/>
      <c r="AF872" s="240"/>
      <c r="AG872" s="240"/>
      <c r="AH872" s="240"/>
      <c r="AI872" s="240"/>
      <c r="AJ872" s="240"/>
      <c r="AK872" s="240"/>
      <c r="AL872" s="240"/>
      <c r="AM872" s="240"/>
      <c r="AN872" s="240"/>
    </row>
    <row r="873" ht="15.75" customHeight="1">
      <c r="A873" s="145"/>
      <c r="B873" s="145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  <c r="AA873" s="240"/>
      <c r="AB873" s="240"/>
      <c r="AC873" s="240"/>
      <c r="AD873" s="240"/>
      <c r="AE873" s="240"/>
      <c r="AF873" s="240"/>
      <c r="AG873" s="240"/>
      <c r="AH873" s="240"/>
      <c r="AI873" s="240"/>
      <c r="AJ873" s="240"/>
      <c r="AK873" s="240"/>
      <c r="AL873" s="240"/>
      <c r="AM873" s="240"/>
      <c r="AN873" s="240"/>
    </row>
    <row r="874" ht="15.75" customHeight="1">
      <c r="A874" s="145"/>
      <c r="B874" s="145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  <c r="AA874" s="240"/>
      <c r="AB874" s="240"/>
      <c r="AC874" s="240"/>
      <c r="AD874" s="240"/>
      <c r="AE874" s="240"/>
      <c r="AF874" s="240"/>
      <c r="AG874" s="240"/>
      <c r="AH874" s="240"/>
      <c r="AI874" s="240"/>
      <c r="AJ874" s="240"/>
      <c r="AK874" s="240"/>
      <c r="AL874" s="240"/>
      <c r="AM874" s="240"/>
      <c r="AN874" s="240"/>
    </row>
    <row r="875" ht="15.75" customHeight="1">
      <c r="A875" s="145"/>
      <c r="B875" s="145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  <c r="AA875" s="240"/>
      <c r="AB875" s="240"/>
      <c r="AC875" s="240"/>
      <c r="AD875" s="240"/>
      <c r="AE875" s="240"/>
      <c r="AF875" s="240"/>
      <c r="AG875" s="240"/>
      <c r="AH875" s="240"/>
      <c r="AI875" s="240"/>
      <c r="AJ875" s="240"/>
      <c r="AK875" s="240"/>
      <c r="AL875" s="240"/>
      <c r="AM875" s="240"/>
      <c r="AN875" s="240"/>
    </row>
    <row r="876" ht="15.75" customHeight="1">
      <c r="A876" s="145"/>
      <c r="B876" s="145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  <c r="AA876" s="240"/>
      <c r="AB876" s="240"/>
      <c r="AC876" s="240"/>
      <c r="AD876" s="240"/>
      <c r="AE876" s="240"/>
      <c r="AF876" s="240"/>
      <c r="AG876" s="240"/>
      <c r="AH876" s="240"/>
      <c r="AI876" s="240"/>
      <c r="AJ876" s="240"/>
      <c r="AK876" s="240"/>
      <c r="AL876" s="240"/>
      <c r="AM876" s="240"/>
      <c r="AN876" s="240"/>
    </row>
    <row r="877" ht="15.75" customHeight="1">
      <c r="A877" s="145"/>
      <c r="B877" s="145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  <c r="AA877" s="240"/>
      <c r="AB877" s="240"/>
      <c r="AC877" s="240"/>
      <c r="AD877" s="240"/>
      <c r="AE877" s="240"/>
      <c r="AF877" s="240"/>
      <c r="AG877" s="240"/>
      <c r="AH877" s="240"/>
      <c r="AI877" s="240"/>
      <c r="AJ877" s="240"/>
      <c r="AK877" s="240"/>
      <c r="AL877" s="240"/>
      <c r="AM877" s="240"/>
      <c r="AN877" s="240"/>
    </row>
    <row r="878" ht="15.75" customHeight="1">
      <c r="A878" s="145"/>
      <c r="B878" s="145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  <c r="AA878" s="240"/>
      <c r="AB878" s="240"/>
      <c r="AC878" s="240"/>
      <c r="AD878" s="240"/>
      <c r="AE878" s="240"/>
      <c r="AF878" s="240"/>
      <c r="AG878" s="240"/>
      <c r="AH878" s="240"/>
      <c r="AI878" s="240"/>
      <c r="AJ878" s="240"/>
      <c r="AK878" s="240"/>
      <c r="AL878" s="240"/>
      <c r="AM878" s="240"/>
      <c r="AN878" s="240"/>
    </row>
    <row r="879" ht="15.75" customHeight="1">
      <c r="A879" s="145"/>
      <c r="B879" s="145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  <c r="AA879" s="240"/>
      <c r="AB879" s="240"/>
      <c r="AC879" s="240"/>
      <c r="AD879" s="240"/>
      <c r="AE879" s="240"/>
      <c r="AF879" s="240"/>
      <c r="AG879" s="240"/>
      <c r="AH879" s="240"/>
      <c r="AI879" s="240"/>
      <c r="AJ879" s="240"/>
      <c r="AK879" s="240"/>
      <c r="AL879" s="240"/>
      <c r="AM879" s="240"/>
      <c r="AN879" s="240"/>
    </row>
    <row r="880" ht="15.75" customHeight="1">
      <c r="A880" s="145"/>
      <c r="B880" s="145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  <c r="AA880" s="240"/>
      <c r="AB880" s="240"/>
      <c r="AC880" s="240"/>
      <c r="AD880" s="240"/>
      <c r="AE880" s="240"/>
      <c r="AF880" s="240"/>
      <c r="AG880" s="240"/>
      <c r="AH880" s="240"/>
      <c r="AI880" s="240"/>
      <c r="AJ880" s="240"/>
      <c r="AK880" s="240"/>
      <c r="AL880" s="240"/>
      <c r="AM880" s="240"/>
      <c r="AN880" s="240"/>
    </row>
    <row r="881" ht="15.75" customHeight="1">
      <c r="A881" s="145"/>
      <c r="B881" s="145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  <c r="AA881" s="240"/>
      <c r="AB881" s="240"/>
      <c r="AC881" s="240"/>
      <c r="AD881" s="240"/>
      <c r="AE881" s="240"/>
      <c r="AF881" s="240"/>
      <c r="AG881" s="240"/>
      <c r="AH881" s="240"/>
      <c r="AI881" s="240"/>
      <c r="AJ881" s="240"/>
      <c r="AK881" s="240"/>
      <c r="AL881" s="240"/>
      <c r="AM881" s="240"/>
      <c r="AN881" s="240"/>
    </row>
    <row r="882" ht="15.75" customHeight="1">
      <c r="A882" s="145"/>
      <c r="B882" s="145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  <c r="AA882" s="240"/>
      <c r="AB882" s="240"/>
      <c r="AC882" s="240"/>
      <c r="AD882" s="240"/>
      <c r="AE882" s="240"/>
      <c r="AF882" s="240"/>
      <c r="AG882" s="240"/>
      <c r="AH882" s="240"/>
      <c r="AI882" s="240"/>
      <c r="AJ882" s="240"/>
      <c r="AK882" s="240"/>
      <c r="AL882" s="240"/>
      <c r="AM882" s="240"/>
      <c r="AN882" s="240"/>
    </row>
    <row r="883" ht="15.75" customHeight="1">
      <c r="A883" s="145"/>
      <c r="B883" s="145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  <c r="AA883" s="240"/>
      <c r="AB883" s="240"/>
      <c r="AC883" s="240"/>
      <c r="AD883" s="240"/>
      <c r="AE883" s="240"/>
      <c r="AF883" s="240"/>
      <c r="AG883" s="240"/>
      <c r="AH883" s="240"/>
      <c r="AI883" s="240"/>
      <c r="AJ883" s="240"/>
      <c r="AK883" s="240"/>
      <c r="AL883" s="240"/>
      <c r="AM883" s="240"/>
      <c r="AN883" s="240"/>
    </row>
    <row r="884" ht="15.75" customHeight="1">
      <c r="A884" s="145"/>
      <c r="B884" s="145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  <c r="AA884" s="240"/>
      <c r="AB884" s="240"/>
      <c r="AC884" s="240"/>
      <c r="AD884" s="240"/>
      <c r="AE884" s="240"/>
      <c r="AF884" s="240"/>
      <c r="AG884" s="240"/>
      <c r="AH884" s="240"/>
      <c r="AI884" s="240"/>
      <c r="AJ884" s="240"/>
      <c r="AK884" s="240"/>
      <c r="AL884" s="240"/>
      <c r="AM884" s="240"/>
      <c r="AN884" s="240"/>
    </row>
    <row r="885" ht="15.75" customHeight="1">
      <c r="A885" s="145"/>
      <c r="B885" s="145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  <c r="AA885" s="240"/>
      <c r="AB885" s="240"/>
      <c r="AC885" s="240"/>
      <c r="AD885" s="240"/>
      <c r="AE885" s="240"/>
      <c r="AF885" s="240"/>
      <c r="AG885" s="240"/>
      <c r="AH885" s="240"/>
      <c r="AI885" s="240"/>
      <c r="AJ885" s="240"/>
      <c r="AK885" s="240"/>
      <c r="AL885" s="240"/>
      <c r="AM885" s="240"/>
      <c r="AN885" s="240"/>
    </row>
    <row r="886" ht="15.75" customHeight="1">
      <c r="A886" s="145"/>
      <c r="B886" s="145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  <c r="AA886" s="240"/>
      <c r="AB886" s="240"/>
      <c r="AC886" s="240"/>
      <c r="AD886" s="240"/>
      <c r="AE886" s="240"/>
      <c r="AF886" s="240"/>
      <c r="AG886" s="240"/>
      <c r="AH886" s="240"/>
      <c r="AI886" s="240"/>
      <c r="AJ886" s="240"/>
      <c r="AK886" s="240"/>
      <c r="AL886" s="240"/>
      <c r="AM886" s="240"/>
      <c r="AN886" s="240"/>
    </row>
    <row r="887" ht="15.75" customHeight="1">
      <c r="A887" s="145"/>
      <c r="B887" s="145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  <c r="AA887" s="240"/>
      <c r="AB887" s="240"/>
      <c r="AC887" s="240"/>
      <c r="AD887" s="240"/>
      <c r="AE887" s="240"/>
      <c r="AF887" s="240"/>
      <c r="AG887" s="240"/>
      <c r="AH887" s="240"/>
      <c r="AI887" s="240"/>
      <c r="AJ887" s="240"/>
      <c r="AK887" s="240"/>
      <c r="AL887" s="240"/>
      <c r="AM887" s="240"/>
      <c r="AN887" s="240"/>
    </row>
    <row r="888" ht="15.75" customHeight="1">
      <c r="A888" s="145"/>
      <c r="B888" s="145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  <c r="AA888" s="240"/>
      <c r="AB888" s="240"/>
      <c r="AC888" s="240"/>
      <c r="AD888" s="240"/>
      <c r="AE888" s="240"/>
      <c r="AF888" s="240"/>
      <c r="AG888" s="240"/>
      <c r="AH888" s="240"/>
      <c r="AI888" s="240"/>
      <c r="AJ888" s="240"/>
      <c r="AK888" s="240"/>
      <c r="AL888" s="240"/>
      <c r="AM888" s="240"/>
      <c r="AN888" s="240"/>
    </row>
    <row r="889" ht="15.75" customHeight="1">
      <c r="A889" s="145"/>
      <c r="B889" s="145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  <c r="AA889" s="240"/>
      <c r="AB889" s="240"/>
      <c r="AC889" s="240"/>
      <c r="AD889" s="240"/>
      <c r="AE889" s="240"/>
      <c r="AF889" s="240"/>
      <c r="AG889" s="240"/>
      <c r="AH889" s="240"/>
      <c r="AI889" s="240"/>
      <c r="AJ889" s="240"/>
      <c r="AK889" s="240"/>
      <c r="AL889" s="240"/>
      <c r="AM889" s="240"/>
      <c r="AN889" s="240"/>
    </row>
    <row r="890" ht="15.75" customHeight="1">
      <c r="A890" s="145"/>
      <c r="B890" s="145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  <c r="AA890" s="240"/>
      <c r="AB890" s="240"/>
      <c r="AC890" s="240"/>
      <c r="AD890" s="240"/>
      <c r="AE890" s="240"/>
      <c r="AF890" s="240"/>
      <c r="AG890" s="240"/>
      <c r="AH890" s="240"/>
      <c r="AI890" s="240"/>
      <c r="AJ890" s="240"/>
      <c r="AK890" s="240"/>
      <c r="AL890" s="240"/>
      <c r="AM890" s="240"/>
      <c r="AN890" s="240"/>
    </row>
    <row r="891" ht="15.75" customHeight="1">
      <c r="A891" s="145"/>
      <c r="B891" s="145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  <c r="AA891" s="240"/>
      <c r="AB891" s="240"/>
      <c r="AC891" s="240"/>
      <c r="AD891" s="240"/>
      <c r="AE891" s="240"/>
      <c r="AF891" s="240"/>
      <c r="AG891" s="240"/>
      <c r="AH891" s="240"/>
      <c r="AI891" s="240"/>
      <c r="AJ891" s="240"/>
      <c r="AK891" s="240"/>
      <c r="AL891" s="240"/>
      <c r="AM891" s="240"/>
      <c r="AN891" s="240"/>
    </row>
    <row r="892" ht="15.75" customHeight="1">
      <c r="A892" s="145"/>
      <c r="B892" s="145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  <c r="AA892" s="240"/>
      <c r="AB892" s="240"/>
      <c r="AC892" s="240"/>
      <c r="AD892" s="240"/>
      <c r="AE892" s="240"/>
      <c r="AF892" s="240"/>
      <c r="AG892" s="240"/>
      <c r="AH892" s="240"/>
      <c r="AI892" s="240"/>
      <c r="AJ892" s="240"/>
      <c r="AK892" s="240"/>
      <c r="AL892" s="240"/>
      <c r="AM892" s="240"/>
      <c r="AN892" s="240"/>
    </row>
    <row r="893" ht="15.75" customHeight="1">
      <c r="A893" s="145"/>
      <c r="B893" s="145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  <c r="AA893" s="240"/>
      <c r="AB893" s="240"/>
      <c r="AC893" s="240"/>
      <c r="AD893" s="240"/>
      <c r="AE893" s="240"/>
      <c r="AF893" s="240"/>
      <c r="AG893" s="240"/>
      <c r="AH893" s="240"/>
      <c r="AI893" s="240"/>
      <c r="AJ893" s="240"/>
      <c r="AK893" s="240"/>
      <c r="AL893" s="240"/>
      <c r="AM893" s="240"/>
      <c r="AN893" s="240"/>
    </row>
    <row r="894" ht="15.75" customHeight="1">
      <c r="A894" s="145"/>
      <c r="B894" s="145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  <c r="AA894" s="240"/>
      <c r="AB894" s="240"/>
      <c r="AC894" s="240"/>
      <c r="AD894" s="240"/>
      <c r="AE894" s="240"/>
      <c r="AF894" s="240"/>
      <c r="AG894" s="240"/>
      <c r="AH894" s="240"/>
      <c r="AI894" s="240"/>
      <c r="AJ894" s="240"/>
      <c r="AK894" s="240"/>
      <c r="AL894" s="240"/>
      <c r="AM894" s="240"/>
      <c r="AN894" s="240"/>
    </row>
    <row r="895" ht="15.75" customHeight="1">
      <c r="A895" s="145"/>
      <c r="B895" s="145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  <c r="AA895" s="240"/>
      <c r="AB895" s="240"/>
      <c r="AC895" s="240"/>
      <c r="AD895" s="240"/>
      <c r="AE895" s="240"/>
      <c r="AF895" s="240"/>
      <c r="AG895" s="240"/>
      <c r="AH895" s="240"/>
      <c r="AI895" s="240"/>
      <c r="AJ895" s="240"/>
      <c r="AK895" s="240"/>
      <c r="AL895" s="240"/>
      <c r="AM895" s="240"/>
      <c r="AN895" s="240"/>
    </row>
    <row r="896" ht="15.75" customHeight="1">
      <c r="A896" s="145"/>
      <c r="B896" s="145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  <c r="AA896" s="240"/>
      <c r="AB896" s="240"/>
      <c r="AC896" s="240"/>
      <c r="AD896" s="240"/>
      <c r="AE896" s="240"/>
      <c r="AF896" s="240"/>
      <c r="AG896" s="240"/>
      <c r="AH896" s="240"/>
      <c r="AI896" s="240"/>
      <c r="AJ896" s="240"/>
      <c r="AK896" s="240"/>
      <c r="AL896" s="240"/>
      <c r="AM896" s="240"/>
      <c r="AN896" s="240"/>
    </row>
    <row r="897" ht="15.75" customHeight="1">
      <c r="A897" s="145"/>
      <c r="B897" s="145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  <c r="AA897" s="240"/>
      <c r="AB897" s="240"/>
      <c r="AC897" s="240"/>
      <c r="AD897" s="240"/>
      <c r="AE897" s="240"/>
      <c r="AF897" s="240"/>
      <c r="AG897" s="240"/>
      <c r="AH897" s="240"/>
      <c r="AI897" s="240"/>
      <c r="AJ897" s="240"/>
      <c r="AK897" s="240"/>
      <c r="AL897" s="240"/>
      <c r="AM897" s="240"/>
      <c r="AN897" s="240"/>
    </row>
    <row r="898" ht="15.75" customHeight="1">
      <c r="A898" s="145"/>
      <c r="B898" s="145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  <c r="AA898" s="240"/>
      <c r="AB898" s="240"/>
      <c r="AC898" s="240"/>
      <c r="AD898" s="240"/>
      <c r="AE898" s="240"/>
      <c r="AF898" s="240"/>
      <c r="AG898" s="240"/>
      <c r="AH898" s="240"/>
      <c r="AI898" s="240"/>
      <c r="AJ898" s="240"/>
      <c r="AK898" s="240"/>
      <c r="AL898" s="240"/>
      <c r="AM898" s="240"/>
      <c r="AN898" s="240"/>
    </row>
    <row r="899" ht="15.75" customHeight="1">
      <c r="A899" s="145"/>
      <c r="B899" s="145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  <c r="AA899" s="240"/>
      <c r="AB899" s="240"/>
      <c r="AC899" s="240"/>
      <c r="AD899" s="240"/>
      <c r="AE899" s="240"/>
      <c r="AF899" s="240"/>
      <c r="AG899" s="240"/>
      <c r="AH899" s="240"/>
      <c r="AI899" s="240"/>
      <c r="AJ899" s="240"/>
      <c r="AK899" s="240"/>
      <c r="AL899" s="240"/>
      <c r="AM899" s="240"/>
      <c r="AN899" s="240"/>
    </row>
    <row r="900" ht="15.75" customHeight="1">
      <c r="A900" s="145"/>
      <c r="B900" s="145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  <c r="AA900" s="240"/>
      <c r="AB900" s="240"/>
      <c r="AC900" s="240"/>
      <c r="AD900" s="240"/>
      <c r="AE900" s="240"/>
      <c r="AF900" s="240"/>
      <c r="AG900" s="240"/>
      <c r="AH900" s="240"/>
      <c r="AI900" s="240"/>
      <c r="AJ900" s="240"/>
      <c r="AK900" s="240"/>
      <c r="AL900" s="240"/>
      <c r="AM900" s="240"/>
      <c r="AN900" s="240"/>
    </row>
    <row r="901" ht="15.75" customHeight="1">
      <c r="A901" s="145"/>
      <c r="B901" s="145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  <c r="AA901" s="240"/>
      <c r="AB901" s="240"/>
      <c r="AC901" s="240"/>
      <c r="AD901" s="240"/>
      <c r="AE901" s="240"/>
      <c r="AF901" s="240"/>
      <c r="AG901" s="240"/>
      <c r="AH901" s="240"/>
      <c r="AI901" s="240"/>
      <c r="AJ901" s="240"/>
      <c r="AK901" s="240"/>
      <c r="AL901" s="240"/>
      <c r="AM901" s="240"/>
      <c r="AN901" s="240"/>
    </row>
    <row r="902" ht="15.75" customHeight="1">
      <c r="A902" s="145"/>
      <c r="B902" s="145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  <c r="AA902" s="240"/>
      <c r="AB902" s="240"/>
      <c r="AC902" s="240"/>
      <c r="AD902" s="240"/>
      <c r="AE902" s="240"/>
      <c r="AF902" s="240"/>
      <c r="AG902" s="240"/>
      <c r="AH902" s="240"/>
      <c r="AI902" s="240"/>
      <c r="AJ902" s="240"/>
      <c r="AK902" s="240"/>
      <c r="AL902" s="240"/>
      <c r="AM902" s="240"/>
      <c r="AN902" s="240"/>
    </row>
    <row r="903" ht="15.75" customHeight="1">
      <c r="A903" s="145"/>
      <c r="B903" s="145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  <c r="AA903" s="240"/>
      <c r="AB903" s="240"/>
      <c r="AC903" s="240"/>
      <c r="AD903" s="240"/>
      <c r="AE903" s="240"/>
      <c r="AF903" s="240"/>
      <c r="AG903" s="240"/>
      <c r="AH903" s="240"/>
      <c r="AI903" s="240"/>
      <c r="AJ903" s="240"/>
      <c r="AK903" s="240"/>
      <c r="AL903" s="240"/>
      <c r="AM903" s="240"/>
      <c r="AN903" s="240"/>
    </row>
    <row r="904" ht="15.75" customHeight="1">
      <c r="A904" s="145"/>
      <c r="B904" s="145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  <c r="AA904" s="240"/>
      <c r="AB904" s="240"/>
      <c r="AC904" s="240"/>
      <c r="AD904" s="240"/>
      <c r="AE904" s="240"/>
      <c r="AF904" s="240"/>
      <c r="AG904" s="240"/>
      <c r="AH904" s="240"/>
      <c r="AI904" s="240"/>
      <c r="AJ904" s="240"/>
      <c r="AK904" s="240"/>
      <c r="AL904" s="240"/>
      <c r="AM904" s="240"/>
      <c r="AN904" s="240"/>
    </row>
    <row r="905" ht="15.75" customHeight="1">
      <c r="A905" s="145"/>
      <c r="B905" s="145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  <c r="AA905" s="240"/>
      <c r="AB905" s="240"/>
      <c r="AC905" s="240"/>
      <c r="AD905" s="240"/>
      <c r="AE905" s="240"/>
      <c r="AF905" s="240"/>
      <c r="AG905" s="240"/>
      <c r="AH905" s="240"/>
      <c r="AI905" s="240"/>
      <c r="AJ905" s="240"/>
      <c r="AK905" s="240"/>
      <c r="AL905" s="240"/>
      <c r="AM905" s="240"/>
      <c r="AN905" s="240"/>
    </row>
    <row r="906" ht="15.75" customHeight="1">
      <c r="A906" s="145"/>
      <c r="B906" s="145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  <c r="AA906" s="240"/>
      <c r="AB906" s="240"/>
      <c r="AC906" s="240"/>
      <c r="AD906" s="240"/>
      <c r="AE906" s="240"/>
      <c r="AF906" s="240"/>
      <c r="AG906" s="240"/>
      <c r="AH906" s="240"/>
      <c r="AI906" s="240"/>
      <c r="AJ906" s="240"/>
      <c r="AK906" s="240"/>
      <c r="AL906" s="240"/>
      <c r="AM906" s="240"/>
      <c r="AN906" s="240"/>
    </row>
    <row r="907" ht="15.75" customHeight="1">
      <c r="A907" s="145"/>
      <c r="B907" s="145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  <c r="AA907" s="240"/>
      <c r="AB907" s="240"/>
      <c r="AC907" s="240"/>
      <c r="AD907" s="240"/>
      <c r="AE907" s="240"/>
      <c r="AF907" s="240"/>
      <c r="AG907" s="240"/>
      <c r="AH907" s="240"/>
      <c r="AI907" s="240"/>
      <c r="AJ907" s="240"/>
      <c r="AK907" s="240"/>
      <c r="AL907" s="240"/>
      <c r="AM907" s="240"/>
      <c r="AN907" s="240"/>
    </row>
    <row r="908" ht="15.75" customHeight="1">
      <c r="A908" s="145"/>
      <c r="B908" s="145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  <c r="AA908" s="240"/>
      <c r="AB908" s="240"/>
      <c r="AC908" s="240"/>
      <c r="AD908" s="240"/>
      <c r="AE908" s="240"/>
      <c r="AF908" s="240"/>
      <c r="AG908" s="240"/>
      <c r="AH908" s="240"/>
      <c r="AI908" s="240"/>
      <c r="AJ908" s="240"/>
      <c r="AK908" s="240"/>
      <c r="AL908" s="240"/>
      <c r="AM908" s="240"/>
      <c r="AN908" s="240"/>
    </row>
    <row r="909" ht="15.75" customHeight="1">
      <c r="A909" s="145"/>
      <c r="B909" s="145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  <c r="AA909" s="240"/>
      <c r="AB909" s="240"/>
      <c r="AC909" s="240"/>
      <c r="AD909" s="240"/>
      <c r="AE909" s="240"/>
      <c r="AF909" s="240"/>
      <c r="AG909" s="240"/>
      <c r="AH909" s="240"/>
      <c r="AI909" s="240"/>
      <c r="AJ909" s="240"/>
      <c r="AK909" s="240"/>
      <c r="AL909" s="240"/>
      <c r="AM909" s="240"/>
      <c r="AN909" s="240"/>
    </row>
    <row r="910" ht="15.75" customHeight="1">
      <c r="A910" s="145"/>
      <c r="B910" s="145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  <c r="AA910" s="240"/>
      <c r="AB910" s="240"/>
      <c r="AC910" s="240"/>
      <c r="AD910" s="240"/>
      <c r="AE910" s="240"/>
      <c r="AF910" s="240"/>
      <c r="AG910" s="240"/>
      <c r="AH910" s="240"/>
      <c r="AI910" s="240"/>
      <c r="AJ910" s="240"/>
      <c r="AK910" s="240"/>
      <c r="AL910" s="240"/>
      <c r="AM910" s="240"/>
      <c r="AN910" s="240"/>
    </row>
    <row r="911" ht="15.75" customHeight="1">
      <c r="A911" s="145"/>
      <c r="B911" s="145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  <c r="AA911" s="240"/>
      <c r="AB911" s="240"/>
      <c r="AC911" s="240"/>
      <c r="AD911" s="240"/>
      <c r="AE911" s="240"/>
      <c r="AF911" s="240"/>
      <c r="AG911" s="240"/>
      <c r="AH911" s="240"/>
      <c r="AI911" s="240"/>
      <c r="AJ911" s="240"/>
      <c r="AK911" s="240"/>
      <c r="AL911" s="240"/>
      <c r="AM911" s="240"/>
      <c r="AN911" s="240"/>
    </row>
    <row r="912" ht="15.75" customHeight="1">
      <c r="A912" s="145"/>
      <c r="B912" s="145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  <c r="AA912" s="240"/>
      <c r="AB912" s="240"/>
      <c r="AC912" s="240"/>
      <c r="AD912" s="240"/>
      <c r="AE912" s="240"/>
      <c r="AF912" s="240"/>
      <c r="AG912" s="240"/>
      <c r="AH912" s="240"/>
      <c r="AI912" s="240"/>
      <c r="AJ912" s="240"/>
      <c r="AK912" s="240"/>
      <c r="AL912" s="240"/>
      <c r="AM912" s="240"/>
      <c r="AN912" s="240"/>
    </row>
    <row r="913" ht="15.75" customHeight="1">
      <c r="A913" s="145"/>
      <c r="B913" s="145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  <c r="AA913" s="240"/>
      <c r="AB913" s="240"/>
      <c r="AC913" s="240"/>
      <c r="AD913" s="240"/>
      <c r="AE913" s="240"/>
      <c r="AF913" s="240"/>
      <c r="AG913" s="240"/>
      <c r="AH913" s="240"/>
      <c r="AI913" s="240"/>
      <c r="AJ913" s="240"/>
      <c r="AK913" s="240"/>
      <c r="AL913" s="240"/>
      <c r="AM913" s="240"/>
      <c r="AN913" s="240"/>
    </row>
    <row r="914" ht="15.75" customHeight="1">
      <c r="A914" s="145"/>
      <c r="B914" s="145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  <c r="AA914" s="240"/>
      <c r="AB914" s="240"/>
      <c r="AC914" s="240"/>
      <c r="AD914" s="240"/>
      <c r="AE914" s="240"/>
      <c r="AF914" s="240"/>
      <c r="AG914" s="240"/>
      <c r="AH914" s="240"/>
      <c r="AI914" s="240"/>
      <c r="AJ914" s="240"/>
      <c r="AK914" s="240"/>
      <c r="AL914" s="240"/>
      <c r="AM914" s="240"/>
      <c r="AN914" s="240"/>
    </row>
    <row r="915" ht="15.75" customHeight="1">
      <c r="A915" s="145"/>
      <c r="B915" s="145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  <c r="AA915" s="240"/>
      <c r="AB915" s="240"/>
      <c r="AC915" s="240"/>
      <c r="AD915" s="240"/>
      <c r="AE915" s="240"/>
      <c r="AF915" s="240"/>
      <c r="AG915" s="240"/>
      <c r="AH915" s="240"/>
      <c r="AI915" s="240"/>
      <c r="AJ915" s="240"/>
      <c r="AK915" s="240"/>
      <c r="AL915" s="240"/>
      <c r="AM915" s="240"/>
      <c r="AN915" s="240"/>
    </row>
    <row r="916" ht="15.75" customHeight="1">
      <c r="A916" s="145"/>
      <c r="B916" s="145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  <c r="AA916" s="240"/>
      <c r="AB916" s="240"/>
      <c r="AC916" s="240"/>
      <c r="AD916" s="240"/>
      <c r="AE916" s="240"/>
      <c r="AF916" s="240"/>
      <c r="AG916" s="240"/>
      <c r="AH916" s="240"/>
      <c r="AI916" s="240"/>
      <c r="AJ916" s="240"/>
      <c r="AK916" s="240"/>
      <c r="AL916" s="240"/>
      <c r="AM916" s="240"/>
      <c r="AN916" s="240"/>
    </row>
    <row r="917" ht="15.75" customHeight="1">
      <c r="A917" s="145"/>
      <c r="B917" s="145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  <c r="AA917" s="240"/>
      <c r="AB917" s="240"/>
      <c r="AC917" s="240"/>
      <c r="AD917" s="240"/>
      <c r="AE917" s="240"/>
      <c r="AF917" s="240"/>
      <c r="AG917" s="240"/>
      <c r="AH917" s="240"/>
      <c r="AI917" s="240"/>
      <c r="AJ917" s="240"/>
      <c r="AK917" s="240"/>
      <c r="AL917" s="240"/>
      <c r="AM917" s="240"/>
      <c r="AN917" s="240"/>
    </row>
    <row r="918" ht="15.75" customHeight="1">
      <c r="A918" s="145"/>
      <c r="B918" s="145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  <c r="AA918" s="240"/>
      <c r="AB918" s="240"/>
      <c r="AC918" s="240"/>
      <c r="AD918" s="240"/>
      <c r="AE918" s="240"/>
      <c r="AF918" s="240"/>
      <c r="AG918" s="240"/>
      <c r="AH918" s="240"/>
      <c r="AI918" s="240"/>
      <c r="AJ918" s="240"/>
      <c r="AK918" s="240"/>
      <c r="AL918" s="240"/>
      <c r="AM918" s="240"/>
      <c r="AN918" s="240"/>
    </row>
    <row r="919" ht="15.75" customHeight="1">
      <c r="A919" s="145"/>
      <c r="B919" s="145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  <c r="AA919" s="240"/>
      <c r="AB919" s="240"/>
      <c r="AC919" s="240"/>
      <c r="AD919" s="240"/>
      <c r="AE919" s="240"/>
      <c r="AF919" s="240"/>
      <c r="AG919" s="240"/>
      <c r="AH919" s="240"/>
      <c r="AI919" s="240"/>
      <c r="AJ919" s="240"/>
      <c r="AK919" s="240"/>
      <c r="AL919" s="240"/>
      <c r="AM919" s="240"/>
      <c r="AN919" s="240"/>
    </row>
    <row r="920" ht="15.75" customHeight="1">
      <c r="A920" s="145"/>
      <c r="B920" s="145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  <c r="AA920" s="240"/>
      <c r="AB920" s="240"/>
      <c r="AC920" s="240"/>
      <c r="AD920" s="240"/>
      <c r="AE920" s="240"/>
      <c r="AF920" s="240"/>
      <c r="AG920" s="240"/>
      <c r="AH920" s="240"/>
      <c r="AI920" s="240"/>
      <c r="AJ920" s="240"/>
      <c r="AK920" s="240"/>
      <c r="AL920" s="240"/>
      <c r="AM920" s="240"/>
      <c r="AN920" s="240"/>
    </row>
    <row r="921" ht="15.75" customHeight="1">
      <c r="A921" s="145"/>
      <c r="B921" s="145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  <c r="AA921" s="240"/>
      <c r="AB921" s="240"/>
      <c r="AC921" s="240"/>
      <c r="AD921" s="240"/>
      <c r="AE921" s="240"/>
      <c r="AF921" s="240"/>
      <c r="AG921" s="240"/>
      <c r="AH921" s="240"/>
      <c r="AI921" s="240"/>
      <c r="AJ921" s="240"/>
      <c r="AK921" s="240"/>
      <c r="AL921" s="240"/>
      <c r="AM921" s="240"/>
      <c r="AN921" s="240"/>
    </row>
    <row r="922" ht="15.75" customHeight="1">
      <c r="A922" s="145"/>
      <c r="B922" s="145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  <c r="AA922" s="240"/>
      <c r="AB922" s="240"/>
      <c r="AC922" s="240"/>
      <c r="AD922" s="240"/>
      <c r="AE922" s="240"/>
      <c r="AF922" s="240"/>
      <c r="AG922" s="240"/>
      <c r="AH922" s="240"/>
      <c r="AI922" s="240"/>
      <c r="AJ922" s="240"/>
      <c r="AK922" s="240"/>
      <c r="AL922" s="240"/>
      <c r="AM922" s="240"/>
      <c r="AN922" s="240"/>
    </row>
    <row r="923" ht="15.75" customHeight="1">
      <c r="A923" s="145"/>
      <c r="B923" s="145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  <c r="AA923" s="240"/>
      <c r="AB923" s="240"/>
      <c r="AC923" s="240"/>
      <c r="AD923" s="240"/>
      <c r="AE923" s="240"/>
      <c r="AF923" s="240"/>
      <c r="AG923" s="240"/>
      <c r="AH923" s="240"/>
      <c r="AI923" s="240"/>
      <c r="AJ923" s="240"/>
      <c r="AK923" s="240"/>
      <c r="AL923" s="240"/>
      <c r="AM923" s="240"/>
      <c r="AN923" s="240"/>
    </row>
    <row r="924" ht="15.75" customHeight="1">
      <c r="A924" s="145"/>
      <c r="B924" s="145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  <c r="AA924" s="240"/>
      <c r="AB924" s="240"/>
      <c r="AC924" s="240"/>
      <c r="AD924" s="240"/>
      <c r="AE924" s="240"/>
      <c r="AF924" s="240"/>
      <c r="AG924" s="240"/>
      <c r="AH924" s="240"/>
      <c r="AI924" s="240"/>
      <c r="AJ924" s="240"/>
      <c r="AK924" s="240"/>
      <c r="AL924" s="240"/>
      <c r="AM924" s="240"/>
      <c r="AN924" s="240"/>
    </row>
    <row r="925" ht="15.75" customHeight="1">
      <c r="A925" s="145"/>
      <c r="B925" s="145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  <c r="AA925" s="240"/>
      <c r="AB925" s="240"/>
      <c r="AC925" s="240"/>
      <c r="AD925" s="240"/>
      <c r="AE925" s="240"/>
      <c r="AF925" s="240"/>
      <c r="AG925" s="240"/>
      <c r="AH925" s="240"/>
      <c r="AI925" s="240"/>
      <c r="AJ925" s="240"/>
      <c r="AK925" s="240"/>
      <c r="AL925" s="240"/>
      <c r="AM925" s="240"/>
      <c r="AN925" s="240"/>
    </row>
    <row r="926" ht="15.75" customHeight="1">
      <c r="A926" s="145"/>
      <c r="B926" s="145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  <c r="AA926" s="240"/>
      <c r="AB926" s="240"/>
      <c r="AC926" s="240"/>
      <c r="AD926" s="240"/>
      <c r="AE926" s="240"/>
      <c r="AF926" s="240"/>
      <c r="AG926" s="240"/>
      <c r="AH926" s="240"/>
      <c r="AI926" s="240"/>
      <c r="AJ926" s="240"/>
      <c r="AK926" s="240"/>
      <c r="AL926" s="240"/>
      <c r="AM926" s="240"/>
      <c r="AN926" s="240"/>
    </row>
    <row r="927" ht="15.75" customHeight="1">
      <c r="A927" s="145"/>
      <c r="B927" s="145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  <c r="AA927" s="240"/>
      <c r="AB927" s="240"/>
      <c r="AC927" s="240"/>
      <c r="AD927" s="240"/>
      <c r="AE927" s="240"/>
      <c r="AF927" s="240"/>
      <c r="AG927" s="240"/>
      <c r="AH927" s="240"/>
      <c r="AI927" s="240"/>
      <c r="AJ927" s="240"/>
      <c r="AK927" s="240"/>
      <c r="AL927" s="240"/>
      <c r="AM927" s="240"/>
      <c r="AN927" s="240"/>
    </row>
    <row r="928" ht="15.75" customHeight="1">
      <c r="A928" s="145"/>
      <c r="B928" s="145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  <c r="AA928" s="240"/>
      <c r="AB928" s="240"/>
      <c r="AC928" s="240"/>
      <c r="AD928" s="240"/>
      <c r="AE928" s="240"/>
      <c r="AF928" s="240"/>
      <c r="AG928" s="240"/>
      <c r="AH928" s="240"/>
      <c r="AI928" s="240"/>
      <c r="AJ928" s="240"/>
      <c r="AK928" s="240"/>
      <c r="AL928" s="240"/>
      <c r="AM928" s="240"/>
      <c r="AN928" s="240"/>
    </row>
    <row r="929" ht="15.75" customHeight="1">
      <c r="A929" s="145"/>
      <c r="B929" s="145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  <c r="AA929" s="240"/>
      <c r="AB929" s="240"/>
      <c r="AC929" s="240"/>
      <c r="AD929" s="240"/>
      <c r="AE929" s="240"/>
      <c r="AF929" s="240"/>
      <c r="AG929" s="240"/>
      <c r="AH929" s="240"/>
      <c r="AI929" s="240"/>
      <c r="AJ929" s="240"/>
      <c r="AK929" s="240"/>
      <c r="AL929" s="240"/>
      <c r="AM929" s="240"/>
      <c r="AN929" s="240"/>
    </row>
    <row r="930" ht="15.75" customHeight="1">
      <c r="A930" s="145"/>
      <c r="B930" s="145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  <c r="AA930" s="240"/>
      <c r="AB930" s="240"/>
      <c r="AC930" s="240"/>
      <c r="AD930" s="240"/>
      <c r="AE930" s="240"/>
      <c r="AF930" s="240"/>
      <c r="AG930" s="240"/>
      <c r="AH930" s="240"/>
      <c r="AI930" s="240"/>
      <c r="AJ930" s="240"/>
      <c r="AK930" s="240"/>
      <c r="AL930" s="240"/>
      <c r="AM930" s="240"/>
      <c r="AN930" s="240"/>
    </row>
    <row r="931" ht="15.75" customHeight="1">
      <c r="A931" s="145"/>
      <c r="B931" s="145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  <c r="AA931" s="240"/>
      <c r="AB931" s="240"/>
      <c r="AC931" s="240"/>
      <c r="AD931" s="240"/>
      <c r="AE931" s="240"/>
      <c r="AF931" s="240"/>
      <c r="AG931" s="240"/>
      <c r="AH931" s="240"/>
      <c r="AI931" s="240"/>
      <c r="AJ931" s="240"/>
      <c r="AK931" s="240"/>
      <c r="AL931" s="240"/>
      <c r="AM931" s="240"/>
      <c r="AN931" s="240"/>
    </row>
    <row r="932" ht="15.75" customHeight="1">
      <c r="A932" s="145"/>
      <c r="B932" s="145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  <c r="AA932" s="240"/>
      <c r="AB932" s="240"/>
      <c r="AC932" s="240"/>
      <c r="AD932" s="240"/>
      <c r="AE932" s="240"/>
      <c r="AF932" s="240"/>
      <c r="AG932" s="240"/>
      <c r="AH932" s="240"/>
      <c r="AI932" s="240"/>
      <c r="AJ932" s="240"/>
      <c r="AK932" s="240"/>
      <c r="AL932" s="240"/>
      <c r="AM932" s="240"/>
      <c r="AN932" s="240"/>
    </row>
    <row r="933" ht="15.75" customHeight="1">
      <c r="A933" s="145"/>
      <c r="B933" s="145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  <c r="AA933" s="240"/>
      <c r="AB933" s="240"/>
      <c r="AC933" s="240"/>
      <c r="AD933" s="240"/>
      <c r="AE933" s="240"/>
      <c r="AF933" s="240"/>
      <c r="AG933" s="240"/>
      <c r="AH933" s="240"/>
      <c r="AI933" s="240"/>
      <c r="AJ933" s="240"/>
      <c r="AK933" s="240"/>
      <c r="AL933" s="240"/>
      <c r="AM933" s="240"/>
      <c r="AN933" s="240"/>
    </row>
    <row r="934" ht="15.75" customHeight="1">
      <c r="A934" s="145"/>
      <c r="B934" s="145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  <c r="AA934" s="240"/>
      <c r="AB934" s="240"/>
      <c r="AC934" s="240"/>
      <c r="AD934" s="240"/>
      <c r="AE934" s="240"/>
      <c r="AF934" s="240"/>
      <c r="AG934" s="240"/>
      <c r="AH934" s="240"/>
      <c r="AI934" s="240"/>
      <c r="AJ934" s="240"/>
      <c r="AK934" s="240"/>
      <c r="AL934" s="240"/>
      <c r="AM934" s="240"/>
      <c r="AN934" s="240"/>
    </row>
    <row r="935" ht="15.75" customHeight="1">
      <c r="A935" s="145"/>
      <c r="B935" s="145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  <c r="AA935" s="240"/>
      <c r="AB935" s="240"/>
      <c r="AC935" s="240"/>
      <c r="AD935" s="240"/>
      <c r="AE935" s="240"/>
      <c r="AF935" s="240"/>
      <c r="AG935" s="240"/>
      <c r="AH935" s="240"/>
      <c r="AI935" s="240"/>
      <c r="AJ935" s="240"/>
      <c r="AK935" s="240"/>
      <c r="AL935" s="240"/>
      <c r="AM935" s="240"/>
      <c r="AN935" s="240"/>
    </row>
    <row r="936" ht="15.75" customHeight="1">
      <c r="A936" s="145"/>
      <c r="B936" s="145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  <c r="AA936" s="240"/>
      <c r="AB936" s="240"/>
      <c r="AC936" s="240"/>
      <c r="AD936" s="240"/>
      <c r="AE936" s="240"/>
      <c r="AF936" s="240"/>
      <c r="AG936" s="240"/>
      <c r="AH936" s="240"/>
      <c r="AI936" s="240"/>
      <c r="AJ936" s="240"/>
      <c r="AK936" s="240"/>
      <c r="AL936" s="240"/>
      <c r="AM936" s="240"/>
      <c r="AN936" s="240"/>
    </row>
    <row r="937" ht="15.75" customHeight="1">
      <c r="A937" s="145"/>
      <c r="B937" s="145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  <c r="AA937" s="240"/>
      <c r="AB937" s="240"/>
      <c r="AC937" s="240"/>
      <c r="AD937" s="240"/>
      <c r="AE937" s="240"/>
      <c r="AF937" s="240"/>
      <c r="AG937" s="240"/>
      <c r="AH937" s="240"/>
      <c r="AI937" s="240"/>
      <c r="AJ937" s="240"/>
      <c r="AK937" s="240"/>
      <c r="AL937" s="240"/>
      <c r="AM937" s="240"/>
      <c r="AN937" s="240"/>
    </row>
    <row r="938" ht="15.75" customHeight="1">
      <c r="A938" s="145"/>
      <c r="B938" s="145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  <c r="AA938" s="240"/>
      <c r="AB938" s="240"/>
      <c r="AC938" s="240"/>
      <c r="AD938" s="240"/>
      <c r="AE938" s="240"/>
      <c r="AF938" s="240"/>
      <c r="AG938" s="240"/>
      <c r="AH938" s="240"/>
      <c r="AI938" s="240"/>
      <c r="AJ938" s="240"/>
      <c r="AK938" s="240"/>
      <c r="AL938" s="240"/>
      <c r="AM938" s="240"/>
      <c r="AN938" s="240"/>
    </row>
    <row r="939" ht="15.75" customHeight="1">
      <c r="A939" s="145"/>
      <c r="B939" s="145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  <c r="AA939" s="240"/>
      <c r="AB939" s="240"/>
      <c r="AC939" s="240"/>
      <c r="AD939" s="240"/>
      <c r="AE939" s="240"/>
      <c r="AF939" s="240"/>
      <c r="AG939" s="240"/>
      <c r="AH939" s="240"/>
      <c r="AI939" s="240"/>
      <c r="AJ939" s="240"/>
      <c r="AK939" s="240"/>
      <c r="AL939" s="240"/>
      <c r="AM939" s="240"/>
      <c r="AN939" s="240"/>
    </row>
    <row r="940" ht="15.75" customHeight="1">
      <c r="A940" s="145"/>
      <c r="B940" s="145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  <c r="AA940" s="240"/>
      <c r="AB940" s="240"/>
      <c r="AC940" s="240"/>
      <c r="AD940" s="240"/>
      <c r="AE940" s="240"/>
      <c r="AF940" s="240"/>
      <c r="AG940" s="240"/>
      <c r="AH940" s="240"/>
      <c r="AI940" s="240"/>
      <c r="AJ940" s="240"/>
      <c r="AK940" s="240"/>
      <c r="AL940" s="240"/>
      <c r="AM940" s="240"/>
      <c r="AN940" s="240"/>
    </row>
    <row r="941" ht="15.75" customHeight="1">
      <c r="A941" s="145"/>
      <c r="B941" s="145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  <c r="AA941" s="240"/>
      <c r="AB941" s="240"/>
      <c r="AC941" s="240"/>
      <c r="AD941" s="240"/>
      <c r="AE941" s="240"/>
      <c r="AF941" s="240"/>
      <c r="AG941" s="240"/>
      <c r="AH941" s="240"/>
      <c r="AI941" s="240"/>
      <c r="AJ941" s="240"/>
      <c r="AK941" s="240"/>
      <c r="AL941" s="240"/>
      <c r="AM941" s="240"/>
      <c r="AN941" s="240"/>
    </row>
    <row r="942" ht="15.75" customHeight="1">
      <c r="A942" s="145"/>
      <c r="B942" s="145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  <c r="AA942" s="240"/>
      <c r="AB942" s="240"/>
      <c r="AC942" s="240"/>
      <c r="AD942" s="240"/>
      <c r="AE942" s="240"/>
      <c r="AF942" s="240"/>
      <c r="AG942" s="240"/>
      <c r="AH942" s="240"/>
      <c r="AI942" s="240"/>
      <c r="AJ942" s="240"/>
      <c r="AK942" s="240"/>
      <c r="AL942" s="240"/>
      <c r="AM942" s="240"/>
      <c r="AN942" s="240"/>
    </row>
    <row r="943" ht="15.75" customHeight="1">
      <c r="A943" s="145"/>
      <c r="B943" s="145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  <c r="AA943" s="240"/>
      <c r="AB943" s="240"/>
      <c r="AC943" s="240"/>
      <c r="AD943" s="240"/>
      <c r="AE943" s="240"/>
      <c r="AF943" s="240"/>
      <c r="AG943" s="240"/>
      <c r="AH943" s="240"/>
      <c r="AI943" s="240"/>
      <c r="AJ943" s="240"/>
      <c r="AK943" s="240"/>
      <c r="AL943" s="240"/>
      <c r="AM943" s="240"/>
      <c r="AN943" s="240"/>
    </row>
    <row r="944" ht="15.75" customHeight="1">
      <c r="A944" s="145"/>
      <c r="B944" s="145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  <c r="AA944" s="240"/>
      <c r="AB944" s="240"/>
      <c r="AC944" s="240"/>
      <c r="AD944" s="240"/>
      <c r="AE944" s="240"/>
      <c r="AF944" s="240"/>
      <c r="AG944" s="240"/>
      <c r="AH944" s="240"/>
      <c r="AI944" s="240"/>
      <c r="AJ944" s="240"/>
      <c r="AK944" s="240"/>
      <c r="AL944" s="240"/>
      <c r="AM944" s="240"/>
      <c r="AN944" s="240"/>
    </row>
    <row r="945" ht="15.75" customHeight="1">
      <c r="A945" s="145"/>
      <c r="B945" s="145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  <c r="AA945" s="240"/>
      <c r="AB945" s="240"/>
      <c r="AC945" s="240"/>
      <c r="AD945" s="240"/>
      <c r="AE945" s="240"/>
      <c r="AF945" s="240"/>
      <c r="AG945" s="240"/>
      <c r="AH945" s="240"/>
      <c r="AI945" s="240"/>
      <c r="AJ945" s="240"/>
      <c r="AK945" s="240"/>
      <c r="AL945" s="240"/>
      <c r="AM945" s="240"/>
      <c r="AN945" s="240"/>
    </row>
    <row r="946" ht="15.75" customHeight="1">
      <c r="A946" s="145"/>
      <c r="B946" s="145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  <c r="AA946" s="240"/>
      <c r="AB946" s="240"/>
      <c r="AC946" s="240"/>
      <c r="AD946" s="240"/>
      <c r="AE946" s="240"/>
      <c r="AF946" s="240"/>
      <c r="AG946" s="240"/>
      <c r="AH946" s="240"/>
      <c r="AI946" s="240"/>
      <c r="AJ946" s="240"/>
      <c r="AK946" s="240"/>
      <c r="AL946" s="240"/>
      <c r="AM946" s="240"/>
      <c r="AN946" s="240"/>
    </row>
    <row r="947" ht="15.75" customHeight="1">
      <c r="A947" s="145"/>
      <c r="B947" s="145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  <c r="AA947" s="240"/>
      <c r="AB947" s="240"/>
      <c r="AC947" s="240"/>
      <c r="AD947" s="240"/>
      <c r="AE947" s="240"/>
      <c r="AF947" s="240"/>
      <c r="AG947" s="240"/>
      <c r="AH947" s="240"/>
      <c r="AI947" s="240"/>
      <c r="AJ947" s="240"/>
      <c r="AK947" s="240"/>
      <c r="AL947" s="240"/>
      <c r="AM947" s="240"/>
      <c r="AN947" s="240"/>
    </row>
    <row r="948" ht="15.75" customHeight="1">
      <c r="A948" s="145"/>
      <c r="B948" s="145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  <c r="AA948" s="240"/>
      <c r="AB948" s="240"/>
      <c r="AC948" s="240"/>
      <c r="AD948" s="240"/>
      <c r="AE948" s="240"/>
      <c r="AF948" s="240"/>
      <c r="AG948" s="240"/>
      <c r="AH948" s="240"/>
      <c r="AI948" s="240"/>
      <c r="AJ948" s="240"/>
      <c r="AK948" s="240"/>
      <c r="AL948" s="240"/>
      <c r="AM948" s="240"/>
      <c r="AN948" s="240"/>
    </row>
    <row r="949" ht="15.75" customHeight="1">
      <c r="A949" s="145"/>
      <c r="B949" s="145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  <c r="AA949" s="240"/>
      <c r="AB949" s="240"/>
      <c r="AC949" s="240"/>
      <c r="AD949" s="240"/>
      <c r="AE949" s="240"/>
      <c r="AF949" s="240"/>
      <c r="AG949" s="240"/>
      <c r="AH949" s="240"/>
      <c r="AI949" s="240"/>
      <c r="AJ949" s="240"/>
      <c r="AK949" s="240"/>
      <c r="AL949" s="240"/>
      <c r="AM949" s="240"/>
      <c r="AN949" s="240"/>
    </row>
    <row r="950" ht="15.75" customHeight="1">
      <c r="A950" s="145"/>
      <c r="B950" s="145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  <c r="AA950" s="240"/>
      <c r="AB950" s="240"/>
      <c r="AC950" s="240"/>
      <c r="AD950" s="240"/>
      <c r="AE950" s="240"/>
      <c r="AF950" s="240"/>
      <c r="AG950" s="240"/>
      <c r="AH950" s="240"/>
      <c r="AI950" s="240"/>
      <c r="AJ950" s="240"/>
      <c r="AK950" s="240"/>
      <c r="AL950" s="240"/>
      <c r="AM950" s="240"/>
      <c r="AN950" s="240"/>
    </row>
    <row r="951" ht="15.75" customHeight="1">
      <c r="A951" s="145"/>
      <c r="B951" s="145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  <c r="AA951" s="240"/>
      <c r="AB951" s="240"/>
      <c r="AC951" s="240"/>
      <c r="AD951" s="240"/>
      <c r="AE951" s="240"/>
      <c r="AF951" s="240"/>
      <c r="AG951" s="240"/>
      <c r="AH951" s="240"/>
      <c r="AI951" s="240"/>
      <c r="AJ951" s="240"/>
      <c r="AK951" s="240"/>
      <c r="AL951" s="240"/>
      <c r="AM951" s="240"/>
      <c r="AN951" s="240"/>
    </row>
    <row r="952" ht="15.75" customHeight="1">
      <c r="A952" s="145"/>
      <c r="B952" s="145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  <c r="AA952" s="240"/>
      <c r="AB952" s="240"/>
      <c r="AC952" s="240"/>
      <c r="AD952" s="240"/>
      <c r="AE952" s="240"/>
      <c r="AF952" s="240"/>
      <c r="AG952" s="240"/>
      <c r="AH952" s="240"/>
      <c r="AI952" s="240"/>
      <c r="AJ952" s="240"/>
      <c r="AK952" s="240"/>
      <c r="AL952" s="240"/>
      <c r="AM952" s="240"/>
      <c r="AN952" s="240"/>
    </row>
    <row r="953" ht="15.75" customHeight="1">
      <c r="A953" s="145"/>
      <c r="B953" s="145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  <c r="AA953" s="240"/>
      <c r="AB953" s="240"/>
      <c r="AC953" s="240"/>
      <c r="AD953" s="240"/>
      <c r="AE953" s="240"/>
      <c r="AF953" s="240"/>
      <c r="AG953" s="240"/>
      <c r="AH953" s="240"/>
      <c r="AI953" s="240"/>
      <c r="AJ953" s="240"/>
      <c r="AK953" s="240"/>
      <c r="AL953" s="240"/>
      <c r="AM953" s="240"/>
      <c r="AN953" s="240"/>
    </row>
    <row r="954" ht="15.75" customHeight="1">
      <c r="A954" s="145"/>
      <c r="B954" s="145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  <c r="AA954" s="240"/>
      <c r="AB954" s="240"/>
      <c r="AC954" s="240"/>
      <c r="AD954" s="240"/>
      <c r="AE954" s="240"/>
      <c r="AF954" s="240"/>
      <c r="AG954" s="240"/>
      <c r="AH954" s="240"/>
      <c r="AI954" s="240"/>
      <c r="AJ954" s="240"/>
      <c r="AK954" s="240"/>
      <c r="AL954" s="240"/>
      <c r="AM954" s="240"/>
      <c r="AN954" s="240"/>
    </row>
    <row r="955" ht="15.75" customHeight="1">
      <c r="A955" s="145"/>
      <c r="B955" s="145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  <c r="AA955" s="240"/>
      <c r="AB955" s="240"/>
      <c r="AC955" s="240"/>
      <c r="AD955" s="240"/>
      <c r="AE955" s="240"/>
      <c r="AF955" s="240"/>
      <c r="AG955" s="240"/>
      <c r="AH955" s="240"/>
      <c r="AI955" s="240"/>
      <c r="AJ955" s="240"/>
      <c r="AK955" s="240"/>
      <c r="AL955" s="240"/>
      <c r="AM955" s="240"/>
      <c r="AN955" s="240"/>
    </row>
    <row r="956" ht="15.75" customHeight="1">
      <c r="A956" s="145"/>
      <c r="B956" s="145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  <c r="AA956" s="240"/>
      <c r="AB956" s="240"/>
      <c r="AC956" s="240"/>
      <c r="AD956" s="240"/>
      <c r="AE956" s="240"/>
      <c r="AF956" s="240"/>
      <c r="AG956" s="240"/>
      <c r="AH956" s="240"/>
      <c r="AI956" s="240"/>
      <c r="AJ956" s="240"/>
      <c r="AK956" s="240"/>
      <c r="AL956" s="240"/>
      <c r="AM956" s="240"/>
      <c r="AN956" s="240"/>
    </row>
    <row r="957" ht="15.75" customHeight="1">
      <c r="A957" s="145"/>
      <c r="B957" s="145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  <c r="AA957" s="240"/>
      <c r="AB957" s="240"/>
      <c r="AC957" s="240"/>
      <c r="AD957" s="240"/>
      <c r="AE957" s="240"/>
      <c r="AF957" s="240"/>
      <c r="AG957" s="240"/>
      <c r="AH957" s="240"/>
      <c r="AI957" s="240"/>
      <c r="AJ957" s="240"/>
      <c r="AK957" s="240"/>
      <c r="AL957" s="240"/>
      <c r="AM957" s="240"/>
      <c r="AN957" s="240"/>
    </row>
    <row r="958" ht="15.75" customHeight="1">
      <c r="A958" s="145"/>
      <c r="B958" s="145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  <c r="AA958" s="240"/>
      <c r="AB958" s="240"/>
      <c r="AC958" s="240"/>
      <c r="AD958" s="240"/>
      <c r="AE958" s="240"/>
      <c r="AF958" s="240"/>
      <c r="AG958" s="240"/>
      <c r="AH958" s="240"/>
      <c r="AI958" s="240"/>
      <c r="AJ958" s="240"/>
      <c r="AK958" s="240"/>
      <c r="AL958" s="240"/>
      <c r="AM958" s="240"/>
      <c r="AN958" s="240"/>
    </row>
    <row r="959" ht="15.75" customHeight="1">
      <c r="A959" s="145"/>
      <c r="B959" s="145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  <c r="AA959" s="240"/>
      <c r="AB959" s="240"/>
      <c r="AC959" s="240"/>
      <c r="AD959" s="240"/>
      <c r="AE959" s="240"/>
      <c r="AF959" s="240"/>
      <c r="AG959" s="240"/>
      <c r="AH959" s="240"/>
      <c r="AI959" s="240"/>
      <c r="AJ959" s="240"/>
      <c r="AK959" s="240"/>
      <c r="AL959" s="240"/>
      <c r="AM959" s="240"/>
      <c r="AN959" s="240"/>
    </row>
    <row r="960" ht="15.75" customHeight="1">
      <c r="A960" s="145"/>
      <c r="B960" s="145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  <c r="AA960" s="240"/>
      <c r="AB960" s="240"/>
      <c r="AC960" s="240"/>
      <c r="AD960" s="240"/>
      <c r="AE960" s="240"/>
      <c r="AF960" s="240"/>
      <c r="AG960" s="240"/>
      <c r="AH960" s="240"/>
      <c r="AI960" s="240"/>
      <c r="AJ960" s="240"/>
      <c r="AK960" s="240"/>
      <c r="AL960" s="240"/>
      <c r="AM960" s="240"/>
      <c r="AN960" s="240"/>
    </row>
    <row r="961" ht="15.75" customHeight="1">
      <c r="A961" s="145"/>
      <c r="B961" s="145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  <c r="AA961" s="240"/>
      <c r="AB961" s="240"/>
      <c r="AC961" s="240"/>
      <c r="AD961" s="240"/>
      <c r="AE961" s="240"/>
      <c r="AF961" s="240"/>
      <c r="AG961" s="240"/>
      <c r="AH961" s="240"/>
      <c r="AI961" s="240"/>
      <c r="AJ961" s="240"/>
      <c r="AK961" s="240"/>
      <c r="AL961" s="240"/>
      <c r="AM961" s="240"/>
      <c r="AN961" s="240"/>
    </row>
    <row r="962" ht="15.75" customHeight="1">
      <c r="A962" s="145"/>
      <c r="B962" s="145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  <c r="AA962" s="240"/>
      <c r="AB962" s="240"/>
      <c r="AC962" s="240"/>
      <c r="AD962" s="240"/>
      <c r="AE962" s="240"/>
      <c r="AF962" s="240"/>
      <c r="AG962" s="240"/>
      <c r="AH962" s="240"/>
      <c r="AI962" s="240"/>
      <c r="AJ962" s="240"/>
      <c r="AK962" s="240"/>
      <c r="AL962" s="240"/>
      <c r="AM962" s="240"/>
      <c r="AN962" s="240"/>
    </row>
    <row r="963" ht="15.75" customHeight="1">
      <c r="A963" s="145"/>
      <c r="B963" s="145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  <c r="AA963" s="240"/>
      <c r="AB963" s="240"/>
      <c r="AC963" s="240"/>
      <c r="AD963" s="240"/>
      <c r="AE963" s="240"/>
      <c r="AF963" s="240"/>
      <c r="AG963" s="240"/>
      <c r="AH963" s="240"/>
      <c r="AI963" s="240"/>
      <c r="AJ963" s="240"/>
      <c r="AK963" s="240"/>
      <c r="AL963" s="240"/>
      <c r="AM963" s="240"/>
      <c r="AN963" s="240"/>
    </row>
    <row r="964" ht="15.75" customHeight="1">
      <c r="A964" s="145"/>
      <c r="B964" s="145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  <c r="AA964" s="240"/>
      <c r="AB964" s="240"/>
      <c r="AC964" s="240"/>
      <c r="AD964" s="240"/>
      <c r="AE964" s="240"/>
      <c r="AF964" s="240"/>
      <c r="AG964" s="240"/>
      <c r="AH964" s="240"/>
      <c r="AI964" s="240"/>
      <c r="AJ964" s="240"/>
      <c r="AK964" s="240"/>
      <c r="AL964" s="240"/>
      <c r="AM964" s="240"/>
      <c r="AN964" s="240"/>
    </row>
    <row r="965" ht="15.75" customHeight="1">
      <c r="A965" s="145"/>
      <c r="B965" s="145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  <c r="AA965" s="240"/>
      <c r="AB965" s="240"/>
      <c r="AC965" s="240"/>
      <c r="AD965" s="240"/>
      <c r="AE965" s="240"/>
      <c r="AF965" s="240"/>
      <c r="AG965" s="240"/>
      <c r="AH965" s="240"/>
      <c r="AI965" s="240"/>
      <c r="AJ965" s="240"/>
      <c r="AK965" s="240"/>
      <c r="AL965" s="240"/>
      <c r="AM965" s="240"/>
      <c r="AN965" s="240"/>
    </row>
    <row r="966" ht="15.75" customHeight="1">
      <c r="A966" s="145"/>
      <c r="B966" s="145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  <c r="AA966" s="240"/>
      <c r="AB966" s="240"/>
      <c r="AC966" s="240"/>
      <c r="AD966" s="240"/>
      <c r="AE966" s="240"/>
      <c r="AF966" s="240"/>
      <c r="AG966" s="240"/>
      <c r="AH966" s="240"/>
      <c r="AI966" s="240"/>
      <c r="AJ966" s="240"/>
      <c r="AK966" s="240"/>
      <c r="AL966" s="240"/>
      <c r="AM966" s="240"/>
      <c r="AN966" s="240"/>
    </row>
    <row r="967" ht="15.75" customHeight="1">
      <c r="A967" s="145"/>
      <c r="B967" s="145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  <c r="AA967" s="240"/>
      <c r="AB967" s="240"/>
      <c r="AC967" s="240"/>
      <c r="AD967" s="240"/>
      <c r="AE967" s="240"/>
      <c r="AF967" s="240"/>
      <c r="AG967" s="240"/>
      <c r="AH967" s="240"/>
      <c r="AI967" s="240"/>
      <c r="AJ967" s="240"/>
      <c r="AK967" s="240"/>
      <c r="AL967" s="240"/>
      <c r="AM967" s="240"/>
      <c r="AN967" s="240"/>
    </row>
    <row r="968" ht="15.75" customHeight="1">
      <c r="A968" s="145"/>
      <c r="B968" s="145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  <c r="AA968" s="240"/>
      <c r="AB968" s="240"/>
      <c r="AC968" s="240"/>
      <c r="AD968" s="240"/>
      <c r="AE968" s="240"/>
      <c r="AF968" s="240"/>
      <c r="AG968" s="240"/>
      <c r="AH968" s="240"/>
      <c r="AI968" s="240"/>
      <c r="AJ968" s="240"/>
      <c r="AK968" s="240"/>
      <c r="AL968" s="240"/>
      <c r="AM968" s="240"/>
      <c r="AN968" s="240"/>
    </row>
    <row r="969" ht="15.75" customHeight="1">
      <c r="A969" s="145"/>
      <c r="B969" s="145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  <c r="AA969" s="240"/>
      <c r="AB969" s="240"/>
      <c r="AC969" s="240"/>
      <c r="AD969" s="240"/>
      <c r="AE969" s="240"/>
      <c r="AF969" s="240"/>
      <c r="AG969" s="240"/>
      <c r="AH969" s="240"/>
      <c r="AI969" s="240"/>
      <c r="AJ969" s="240"/>
      <c r="AK969" s="240"/>
      <c r="AL969" s="240"/>
      <c r="AM969" s="240"/>
      <c r="AN969" s="240"/>
    </row>
    <row r="970" ht="15.75" customHeight="1">
      <c r="A970" s="145"/>
      <c r="B970" s="145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  <c r="AA970" s="240"/>
      <c r="AB970" s="240"/>
      <c r="AC970" s="240"/>
      <c r="AD970" s="240"/>
      <c r="AE970" s="240"/>
      <c r="AF970" s="240"/>
      <c r="AG970" s="240"/>
      <c r="AH970" s="240"/>
      <c r="AI970" s="240"/>
      <c r="AJ970" s="240"/>
      <c r="AK970" s="240"/>
      <c r="AL970" s="240"/>
      <c r="AM970" s="240"/>
      <c r="AN970" s="240"/>
    </row>
    <row r="971" ht="15.75" customHeight="1">
      <c r="A971" s="145"/>
      <c r="B971" s="145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  <c r="AA971" s="240"/>
      <c r="AB971" s="240"/>
      <c r="AC971" s="240"/>
      <c r="AD971" s="240"/>
      <c r="AE971" s="240"/>
      <c r="AF971" s="240"/>
      <c r="AG971" s="240"/>
      <c r="AH971" s="240"/>
      <c r="AI971" s="240"/>
      <c r="AJ971" s="240"/>
      <c r="AK971" s="240"/>
      <c r="AL971" s="240"/>
      <c r="AM971" s="240"/>
      <c r="AN971" s="240"/>
    </row>
    <row r="972" ht="15.75" customHeight="1">
      <c r="A972" s="145"/>
      <c r="B972" s="145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  <c r="AA972" s="240"/>
      <c r="AB972" s="240"/>
      <c r="AC972" s="240"/>
      <c r="AD972" s="240"/>
      <c r="AE972" s="240"/>
      <c r="AF972" s="240"/>
      <c r="AG972" s="240"/>
      <c r="AH972" s="240"/>
      <c r="AI972" s="240"/>
      <c r="AJ972" s="240"/>
      <c r="AK972" s="240"/>
      <c r="AL972" s="240"/>
      <c r="AM972" s="240"/>
      <c r="AN972" s="240"/>
    </row>
    <row r="973" ht="15.75" customHeight="1">
      <c r="A973" s="145"/>
      <c r="B973" s="145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  <c r="AA973" s="240"/>
      <c r="AB973" s="240"/>
      <c r="AC973" s="240"/>
      <c r="AD973" s="240"/>
      <c r="AE973" s="240"/>
      <c r="AF973" s="240"/>
      <c r="AG973" s="240"/>
      <c r="AH973" s="240"/>
      <c r="AI973" s="240"/>
      <c r="AJ973" s="240"/>
      <c r="AK973" s="240"/>
      <c r="AL973" s="240"/>
      <c r="AM973" s="240"/>
      <c r="AN973" s="240"/>
    </row>
    <row r="974" ht="15.75" customHeight="1">
      <c r="A974" s="145"/>
      <c r="B974" s="145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  <c r="AA974" s="240"/>
      <c r="AB974" s="240"/>
      <c r="AC974" s="240"/>
      <c r="AD974" s="240"/>
      <c r="AE974" s="240"/>
      <c r="AF974" s="240"/>
      <c r="AG974" s="240"/>
      <c r="AH974" s="240"/>
      <c r="AI974" s="240"/>
      <c r="AJ974" s="240"/>
      <c r="AK974" s="240"/>
      <c r="AL974" s="240"/>
      <c r="AM974" s="240"/>
      <c r="AN974" s="240"/>
    </row>
    <row r="975" ht="15.75" customHeight="1">
      <c r="A975" s="145"/>
      <c r="B975" s="145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  <c r="AA975" s="240"/>
      <c r="AB975" s="240"/>
      <c r="AC975" s="240"/>
      <c r="AD975" s="240"/>
      <c r="AE975" s="240"/>
      <c r="AF975" s="240"/>
      <c r="AG975" s="240"/>
      <c r="AH975" s="240"/>
      <c r="AI975" s="240"/>
      <c r="AJ975" s="240"/>
      <c r="AK975" s="240"/>
      <c r="AL975" s="240"/>
      <c r="AM975" s="240"/>
      <c r="AN975" s="240"/>
    </row>
    <row r="976" ht="15.75" customHeight="1">
      <c r="A976" s="145"/>
      <c r="B976" s="145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  <c r="AA976" s="240"/>
      <c r="AB976" s="240"/>
      <c r="AC976" s="240"/>
      <c r="AD976" s="240"/>
      <c r="AE976" s="240"/>
      <c r="AF976" s="240"/>
      <c r="AG976" s="240"/>
      <c r="AH976" s="240"/>
      <c r="AI976" s="240"/>
      <c r="AJ976" s="240"/>
      <c r="AK976" s="240"/>
      <c r="AL976" s="240"/>
      <c r="AM976" s="240"/>
      <c r="AN976" s="240"/>
    </row>
    <row r="977" ht="15.75" customHeight="1">
      <c r="A977" s="145"/>
      <c r="B977" s="145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  <c r="AA977" s="240"/>
      <c r="AB977" s="240"/>
      <c r="AC977" s="240"/>
      <c r="AD977" s="240"/>
      <c r="AE977" s="240"/>
      <c r="AF977" s="240"/>
      <c r="AG977" s="240"/>
      <c r="AH977" s="240"/>
      <c r="AI977" s="240"/>
      <c r="AJ977" s="240"/>
      <c r="AK977" s="240"/>
      <c r="AL977" s="240"/>
      <c r="AM977" s="240"/>
      <c r="AN977" s="240"/>
    </row>
    <row r="978" ht="15.75" customHeight="1">
      <c r="A978" s="145"/>
      <c r="B978" s="145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  <c r="AA978" s="240"/>
      <c r="AB978" s="240"/>
      <c r="AC978" s="240"/>
      <c r="AD978" s="240"/>
      <c r="AE978" s="240"/>
      <c r="AF978" s="240"/>
      <c r="AG978" s="240"/>
      <c r="AH978" s="240"/>
      <c r="AI978" s="240"/>
      <c r="AJ978" s="240"/>
      <c r="AK978" s="240"/>
      <c r="AL978" s="240"/>
      <c r="AM978" s="240"/>
      <c r="AN978" s="240"/>
    </row>
    <row r="979" ht="15.75" customHeight="1">
      <c r="A979" s="145"/>
      <c r="B979" s="145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  <c r="AA979" s="240"/>
      <c r="AB979" s="240"/>
      <c r="AC979" s="240"/>
      <c r="AD979" s="240"/>
      <c r="AE979" s="240"/>
      <c r="AF979" s="240"/>
      <c r="AG979" s="240"/>
      <c r="AH979" s="240"/>
      <c r="AI979" s="240"/>
      <c r="AJ979" s="240"/>
      <c r="AK979" s="240"/>
      <c r="AL979" s="240"/>
      <c r="AM979" s="240"/>
      <c r="AN979" s="240"/>
    </row>
    <row r="980" ht="15.75" customHeight="1">
      <c r="A980" s="145"/>
      <c r="B980" s="145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  <c r="AA980" s="240"/>
      <c r="AB980" s="240"/>
      <c r="AC980" s="240"/>
      <c r="AD980" s="240"/>
      <c r="AE980" s="240"/>
      <c r="AF980" s="240"/>
      <c r="AG980" s="240"/>
      <c r="AH980" s="240"/>
      <c r="AI980" s="240"/>
      <c r="AJ980" s="240"/>
      <c r="AK980" s="240"/>
      <c r="AL980" s="240"/>
      <c r="AM980" s="240"/>
      <c r="AN980" s="240"/>
    </row>
    <row r="981" ht="15.75" customHeight="1">
      <c r="A981" s="145"/>
      <c r="B981" s="145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  <c r="AA981" s="240"/>
      <c r="AB981" s="240"/>
      <c r="AC981" s="240"/>
      <c r="AD981" s="240"/>
      <c r="AE981" s="240"/>
      <c r="AF981" s="240"/>
      <c r="AG981" s="240"/>
      <c r="AH981" s="240"/>
      <c r="AI981" s="240"/>
      <c r="AJ981" s="240"/>
      <c r="AK981" s="240"/>
      <c r="AL981" s="240"/>
      <c r="AM981" s="240"/>
      <c r="AN981" s="240"/>
    </row>
    <row r="982" ht="15.75" customHeight="1">
      <c r="A982" s="145"/>
      <c r="B982" s="145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  <c r="AA982" s="240"/>
      <c r="AB982" s="240"/>
      <c r="AC982" s="240"/>
      <c r="AD982" s="240"/>
      <c r="AE982" s="240"/>
      <c r="AF982" s="240"/>
      <c r="AG982" s="240"/>
      <c r="AH982" s="240"/>
      <c r="AI982" s="240"/>
      <c r="AJ982" s="240"/>
      <c r="AK982" s="240"/>
      <c r="AL982" s="240"/>
      <c r="AM982" s="240"/>
      <c r="AN982" s="240"/>
    </row>
    <row r="983" ht="15.75" customHeight="1">
      <c r="A983" s="145"/>
      <c r="B983" s="145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  <c r="AA983" s="240"/>
      <c r="AB983" s="240"/>
      <c r="AC983" s="240"/>
      <c r="AD983" s="240"/>
      <c r="AE983" s="240"/>
      <c r="AF983" s="240"/>
      <c r="AG983" s="240"/>
      <c r="AH983" s="240"/>
      <c r="AI983" s="240"/>
      <c r="AJ983" s="240"/>
      <c r="AK983" s="240"/>
      <c r="AL983" s="240"/>
      <c r="AM983" s="240"/>
      <c r="AN983" s="240"/>
    </row>
    <row r="984" ht="15.75" customHeight="1">
      <c r="A984" s="145"/>
      <c r="B984" s="145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  <c r="AA984" s="240"/>
      <c r="AB984" s="240"/>
      <c r="AC984" s="240"/>
      <c r="AD984" s="240"/>
      <c r="AE984" s="240"/>
      <c r="AF984" s="240"/>
      <c r="AG984" s="240"/>
      <c r="AH984" s="240"/>
      <c r="AI984" s="240"/>
      <c r="AJ984" s="240"/>
      <c r="AK984" s="240"/>
      <c r="AL984" s="240"/>
      <c r="AM984" s="240"/>
      <c r="AN984" s="240"/>
    </row>
    <row r="985" ht="15.75" customHeight="1">
      <c r="A985" s="145"/>
      <c r="B985" s="145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  <c r="AA985" s="240"/>
      <c r="AB985" s="240"/>
      <c r="AC985" s="240"/>
      <c r="AD985" s="240"/>
      <c r="AE985" s="240"/>
      <c r="AF985" s="240"/>
      <c r="AG985" s="240"/>
      <c r="AH985" s="240"/>
      <c r="AI985" s="240"/>
      <c r="AJ985" s="240"/>
      <c r="AK985" s="240"/>
      <c r="AL985" s="240"/>
      <c r="AM985" s="240"/>
      <c r="AN985" s="240"/>
    </row>
    <row r="986" ht="15.75" customHeight="1">
      <c r="A986" s="145"/>
      <c r="B986" s="145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  <c r="AA986" s="240"/>
      <c r="AB986" s="240"/>
      <c r="AC986" s="240"/>
      <c r="AD986" s="240"/>
      <c r="AE986" s="240"/>
      <c r="AF986" s="240"/>
      <c r="AG986" s="240"/>
      <c r="AH986" s="240"/>
      <c r="AI986" s="240"/>
      <c r="AJ986" s="240"/>
      <c r="AK986" s="240"/>
      <c r="AL986" s="240"/>
      <c r="AM986" s="240"/>
      <c r="AN986" s="240"/>
    </row>
    <row r="987" ht="15.75" customHeight="1">
      <c r="A987" s="145"/>
      <c r="B987" s="145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  <c r="AA987" s="240"/>
      <c r="AB987" s="240"/>
      <c r="AC987" s="240"/>
      <c r="AD987" s="240"/>
      <c r="AE987" s="240"/>
      <c r="AF987" s="240"/>
      <c r="AG987" s="240"/>
      <c r="AH987" s="240"/>
      <c r="AI987" s="240"/>
      <c r="AJ987" s="240"/>
      <c r="AK987" s="240"/>
      <c r="AL987" s="240"/>
      <c r="AM987" s="240"/>
      <c r="AN987" s="240"/>
    </row>
    <row r="988" ht="15.75" customHeight="1">
      <c r="A988" s="145"/>
      <c r="B988" s="145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  <c r="AA988" s="240"/>
      <c r="AB988" s="240"/>
      <c r="AC988" s="240"/>
      <c r="AD988" s="240"/>
      <c r="AE988" s="240"/>
      <c r="AF988" s="240"/>
      <c r="AG988" s="240"/>
      <c r="AH988" s="240"/>
      <c r="AI988" s="240"/>
      <c r="AJ988" s="240"/>
      <c r="AK988" s="240"/>
      <c r="AL988" s="240"/>
      <c r="AM988" s="240"/>
      <c r="AN988" s="240"/>
    </row>
    <row r="989" ht="15.75" customHeight="1">
      <c r="A989" s="145"/>
      <c r="B989" s="145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  <c r="AA989" s="240"/>
      <c r="AB989" s="240"/>
      <c r="AC989" s="240"/>
      <c r="AD989" s="240"/>
      <c r="AE989" s="240"/>
      <c r="AF989" s="240"/>
      <c r="AG989" s="240"/>
      <c r="AH989" s="240"/>
      <c r="AI989" s="240"/>
      <c r="AJ989" s="240"/>
      <c r="AK989" s="240"/>
      <c r="AL989" s="240"/>
      <c r="AM989" s="240"/>
      <c r="AN989" s="240"/>
    </row>
    <row r="990" ht="15.75" customHeight="1">
      <c r="A990" s="145"/>
      <c r="B990" s="145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  <c r="AA990" s="240"/>
      <c r="AB990" s="240"/>
      <c r="AC990" s="240"/>
      <c r="AD990" s="240"/>
      <c r="AE990" s="240"/>
      <c r="AF990" s="240"/>
      <c r="AG990" s="240"/>
      <c r="AH990" s="240"/>
      <c r="AI990" s="240"/>
      <c r="AJ990" s="240"/>
      <c r="AK990" s="240"/>
      <c r="AL990" s="240"/>
      <c r="AM990" s="240"/>
      <c r="AN990" s="240"/>
    </row>
    <row r="991" ht="15.75" customHeight="1">
      <c r="A991" s="145"/>
      <c r="B991" s="145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  <c r="AA991" s="240"/>
      <c r="AB991" s="240"/>
      <c r="AC991" s="240"/>
      <c r="AD991" s="240"/>
      <c r="AE991" s="240"/>
      <c r="AF991" s="240"/>
      <c r="AG991" s="240"/>
      <c r="AH991" s="240"/>
      <c r="AI991" s="240"/>
      <c r="AJ991" s="240"/>
      <c r="AK991" s="240"/>
      <c r="AL991" s="240"/>
      <c r="AM991" s="240"/>
      <c r="AN991" s="240"/>
    </row>
    <row r="992" ht="15.75" customHeight="1">
      <c r="A992" s="145"/>
      <c r="B992" s="145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  <c r="AA992" s="240"/>
      <c r="AB992" s="240"/>
      <c r="AC992" s="240"/>
      <c r="AD992" s="240"/>
      <c r="AE992" s="240"/>
      <c r="AF992" s="240"/>
      <c r="AG992" s="240"/>
      <c r="AH992" s="240"/>
      <c r="AI992" s="240"/>
      <c r="AJ992" s="240"/>
      <c r="AK992" s="240"/>
      <c r="AL992" s="240"/>
      <c r="AM992" s="240"/>
      <c r="AN992" s="240"/>
    </row>
    <row r="993" ht="15.75" customHeight="1">
      <c r="A993" s="145"/>
      <c r="B993" s="145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  <c r="AA993" s="240"/>
      <c r="AB993" s="240"/>
      <c r="AC993" s="240"/>
      <c r="AD993" s="240"/>
      <c r="AE993" s="240"/>
      <c r="AF993" s="240"/>
      <c r="AG993" s="240"/>
      <c r="AH993" s="240"/>
      <c r="AI993" s="240"/>
      <c r="AJ993" s="240"/>
      <c r="AK993" s="240"/>
      <c r="AL993" s="240"/>
      <c r="AM993" s="240"/>
      <c r="AN993" s="240"/>
    </row>
    <row r="994" ht="15.75" customHeight="1">
      <c r="A994" s="145"/>
      <c r="B994" s="145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  <c r="AA994" s="240"/>
      <c r="AB994" s="240"/>
      <c r="AC994" s="240"/>
      <c r="AD994" s="240"/>
      <c r="AE994" s="240"/>
      <c r="AF994" s="240"/>
      <c r="AG994" s="240"/>
      <c r="AH994" s="240"/>
      <c r="AI994" s="240"/>
      <c r="AJ994" s="240"/>
      <c r="AK994" s="240"/>
      <c r="AL994" s="240"/>
      <c r="AM994" s="240"/>
      <c r="AN994" s="240"/>
    </row>
    <row r="995" ht="15.75" customHeight="1">
      <c r="A995" s="145"/>
      <c r="B995" s="145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  <c r="AA995" s="240"/>
      <c r="AB995" s="240"/>
      <c r="AC995" s="240"/>
      <c r="AD995" s="240"/>
      <c r="AE995" s="240"/>
      <c r="AF995" s="240"/>
      <c r="AG995" s="240"/>
      <c r="AH995" s="240"/>
      <c r="AI995" s="240"/>
      <c r="AJ995" s="240"/>
      <c r="AK995" s="240"/>
      <c r="AL995" s="240"/>
      <c r="AM995" s="240"/>
      <c r="AN995" s="240"/>
    </row>
    <row r="996" ht="15.75" customHeight="1">
      <c r="A996" s="145"/>
      <c r="B996" s="145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  <c r="AA996" s="240"/>
      <c r="AB996" s="240"/>
      <c r="AC996" s="240"/>
      <c r="AD996" s="240"/>
      <c r="AE996" s="240"/>
      <c r="AF996" s="240"/>
      <c r="AG996" s="240"/>
      <c r="AH996" s="240"/>
      <c r="AI996" s="240"/>
      <c r="AJ996" s="240"/>
      <c r="AK996" s="240"/>
      <c r="AL996" s="240"/>
      <c r="AM996" s="240"/>
      <c r="AN996" s="240"/>
    </row>
    <row r="997" ht="15.75" customHeight="1">
      <c r="A997" s="145"/>
      <c r="B997" s="145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  <c r="AA997" s="240"/>
      <c r="AB997" s="240"/>
      <c r="AC997" s="240"/>
      <c r="AD997" s="240"/>
      <c r="AE997" s="240"/>
      <c r="AF997" s="240"/>
      <c r="AG997" s="240"/>
      <c r="AH997" s="240"/>
      <c r="AI997" s="240"/>
      <c r="AJ997" s="240"/>
      <c r="AK997" s="240"/>
      <c r="AL997" s="240"/>
      <c r="AM997" s="240"/>
      <c r="AN997" s="240"/>
    </row>
    <row r="998" ht="15.75" customHeight="1">
      <c r="A998" s="145"/>
      <c r="B998" s="145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  <c r="AA998" s="240"/>
      <c r="AB998" s="240"/>
      <c r="AC998" s="240"/>
      <c r="AD998" s="240"/>
      <c r="AE998" s="240"/>
      <c r="AF998" s="240"/>
      <c r="AG998" s="240"/>
      <c r="AH998" s="240"/>
      <c r="AI998" s="240"/>
      <c r="AJ998" s="240"/>
      <c r="AK998" s="240"/>
      <c r="AL998" s="240"/>
      <c r="AM998" s="240"/>
      <c r="AN998" s="240"/>
    </row>
    <row r="999" ht="15.75" customHeight="1">
      <c r="A999" s="145"/>
      <c r="B999" s="145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  <c r="AA999" s="240"/>
      <c r="AB999" s="240"/>
      <c r="AC999" s="240"/>
      <c r="AD999" s="240"/>
      <c r="AE999" s="240"/>
      <c r="AF999" s="240"/>
      <c r="AG999" s="240"/>
      <c r="AH999" s="240"/>
      <c r="AI999" s="240"/>
      <c r="AJ999" s="240"/>
      <c r="AK999" s="240"/>
      <c r="AL999" s="240"/>
      <c r="AM999" s="240"/>
      <c r="AN999" s="240"/>
    </row>
    <row r="1000" ht="15.75" customHeight="1">
      <c r="A1000" s="145"/>
      <c r="B1000" s="145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  <c r="AA1000" s="240"/>
      <c r="AB1000" s="240"/>
      <c r="AC1000" s="240"/>
      <c r="AD1000" s="240"/>
      <c r="AE1000" s="240"/>
      <c r="AF1000" s="240"/>
      <c r="AG1000" s="240"/>
      <c r="AH1000" s="240"/>
      <c r="AI1000" s="240"/>
      <c r="AJ1000" s="240"/>
      <c r="AK1000" s="240"/>
      <c r="AL1000" s="240"/>
      <c r="AM1000" s="240"/>
      <c r="AN1000" s="240"/>
    </row>
    <row r="1001" ht="15.75" customHeight="1">
      <c r="A1001" s="145"/>
      <c r="B1001" s="145"/>
      <c r="C1001" s="240"/>
      <c r="D1001" s="240"/>
      <c r="E1001" s="240"/>
      <c r="F1001" s="240"/>
      <c r="G1001" s="240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240"/>
      <c r="S1001" s="240"/>
      <c r="T1001" s="240"/>
      <c r="U1001" s="240"/>
      <c r="V1001" s="240"/>
      <c r="W1001" s="240"/>
      <c r="X1001" s="240"/>
      <c r="Y1001" s="240"/>
      <c r="Z1001" s="240"/>
      <c r="AA1001" s="240"/>
      <c r="AB1001" s="240"/>
      <c r="AC1001" s="240"/>
      <c r="AD1001" s="240"/>
      <c r="AE1001" s="240"/>
      <c r="AF1001" s="240"/>
      <c r="AG1001" s="240"/>
      <c r="AH1001" s="240"/>
      <c r="AI1001" s="240"/>
      <c r="AJ1001" s="240"/>
      <c r="AK1001" s="240"/>
      <c r="AL1001" s="240"/>
      <c r="AM1001" s="240"/>
      <c r="AN1001" s="240"/>
    </row>
    <row r="1002" ht="15.75" customHeight="1">
      <c r="A1002" s="145"/>
      <c r="B1002" s="145"/>
      <c r="C1002" s="240"/>
      <c r="D1002" s="240"/>
      <c r="E1002" s="240"/>
      <c r="F1002" s="240"/>
      <c r="G1002" s="240"/>
      <c r="H1002" s="240"/>
      <c r="I1002" s="240"/>
      <c r="J1002" s="240"/>
      <c r="K1002" s="240"/>
      <c r="L1002" s="240"/>
      <c r="M1002" s="240"/>
      <c r="N1002" s="240"/>
      <c r="O1002" s="240"/>
      <c r="P1002" s="240"/>
      <c r="Q1002" s="240"/>
      <c r="R1002" s="240"/>
      <c r="S1002" s="240"/>
      <c r="T1002" s="240"/>
      <c r="U1002" s="240"/>
      <c r="V1002" s="240"/>
      <c r="W1002" s="240"/>
      <c r="X1002" s="240"/>
      <c r="Y1002" s="240"/>
      <c r="Z1002" s="240"/>
      <c r="AA1002" s="240"/>
      <c r="AB1002" s="240"/>
      <c r="AC1002" s="240"/>
      <c r="AD1002" s="240"/>
      <c r="AE1002" s="240"/>
      <c r="AF1002" s="240"/>
      <c r="AG1002" s="240"/>
      <c r="AH1002" s="240"/>
      <c r="AI1002" s="240"/>
      <c r="AJ1002" s="240"/>
      <c r="AK1002" s="240"/>
      <c r="AL1002" s="240"/>
      <c r="AM1002" s="240"/>
      <c r="AN1002" s="240"/>
    </row>
    <row r="1003" ht="15.75" customHeight="1">
      <c r="A1003" s="145"/>
      <c r="B1003" s="145"/>
      <c r="C1003" s="240"/>
      <c r="D1003" s="240"/>
      <c r="E1003" s="240"/>
      <c r="F1003" s="240"/>
      <c r="G1003" s="240"/>
      <c r="H1003" s="240"/>
      <c r="I1003" s="240"/>
      <c r="J1003" s="240"/>
      <c r="K1003" s="240"/>
      <c r="L1003" s="240"/>
      <c r="M1003" s="240"/>
      <c r="N1003" s="240"/>
      <c r="O1003" s="240"/>
      <c r="P1003" s="240"/>
      <c r="Q1003" s="240"/>
      <c r="R1003" s="240"/>
      <c r="S1003" s="240"/>
      <c r="T1003" s="240"/>
      <c r="U1003" s="240"/>
      <c r="V1003" s="240"/>
      <c r="W1003" s="240"/>
      <c r="X1003" s="240"/>
      <c r="Y1003" s="240"/>
      <c r="Z1003" s="240"/>
      <c r="AA1003" s="240"/>
      <c r="AB1003" s="240"/>
      <c r="AC1003" s="240"/>
      <c r="AD1003" s="240"/>
      <c r="AE1003" s="240"/>
      <c r="AF1003" s="240"/>
      <c r="AG1003" s="240"/>
      <c r="AH1003" s="240"/>
      <c r="AI1003" s="240"/>
      <c r="AJ1003" s="240"/>
      <c r="AK1003" s="240"/>
      <c r="AL1003" s="240"/>
      <c r="AM1003" s="240"/>
      <c r="AN1003" s="240"/>
    </row>
    <row r="1004" ht="15.75" customHeight="1">
      <c r="A1004" s="145"/>
      <c r="B1004" s="145"/>
      <c r="C1004" s="240"/>
      <c r="D1004" s="240"/>
      <c r="E1004" s="240"/>
      <c r="F1004" s="240"/>
      <c r="G1004" s="240"/>
      <c r="H1004" s="240"/>
      <c r="I1004" s="240"/>
      <c r="J1004" s="240"/>
      <c r="K1004" s="240"/>
      <c r="L1004" s="240"/>
      <c r="M1004" s="240"/>
      <c r="N1004" s="240"/>
      <c r="O1004" s="240"/>
      <c r="P1004" s="240"/>
      <c r="Q1004" s="240"/>
      <c r="R1004" s="240"/>
      <c r="S1004" s="240"/>
      <c r="T1004" s="240"/>
      <c r="U1004" s="240"/>
      <c r="V1004" s="240"/>
      <c r="W1004" s="240"/>
      <c r="X1004" s="240"/>
      <c r="Y1004" s="240"/>
      <c r="Z1004" s="240"/>
      <c r="AA1004" s="240"/>
      <c r="AB1004" s="240"/>
      <c r="AC1004" s="240"/>
      <c r="AD1004" s="240"/>
      <c r="AE1004" s="240"/>
      <c r="AF1004" s="240"/>
      <c r="AG1004" s="240"/>
      <c r="AH1004" s="240"/>
      <c r="AI1004" s="240"/>
      <c r="AJ1004" s="240"/>
      <c r="AK1004" s="240"/>
      <c r="AL1004" s="240"/>
      <c r="AM1004" s="240"/>
      <c r="AN1004" s="240"/>
    </row>
  </sheetData>
  <mergeCells count="13">
    <mergeCell ref="C5:U5"/>
    <mergeCell ref="T6:T7"/>
    <mergeCell ref="U6:U7"/>
    <mergeCell ref="AM6:AM7"/>
    <mergeCell ref="AN6:AN7"/>
    <mergeCell ref="A1:AN1"/>
    <mergeCell ref="A2:AN2"/>
    <mergeCell ref="A3:AN3"/>
    <mergeCell ref="A4:AN4"/>
    <mergeCell ref="A5:A7"/>
    <mergeCell ref="B5:B7"/>
    <mergeCell ref="V5:AN5"/>
    <mergeCell ref="A57:AN57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18.71"/>
  </cols>
  <sheetData>
    <row r="1" ht="36.75" customHeight="1">
      <c r="A1" s="241" t="s">
        <v>353</v>
      </c>
      <c r="B1" s="16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 ht="36.75" customHeight="1">
      <c r="A2" s="243" t="s">
        <v>354</v>
      </c>
      <c r="B2" s="243" t="s">
        <v>355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 ht="36.75" customHeight="1">
      <c r="A3" s="243" t="s">
        <v>356</v>
      </c>
      <c r="B3" s="243" t="s">
        <v>357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</row>
    <row r="4" ht="36.75" customHeight="1">
      <c r="A4" s="243" t="s">
        <v>358</v>
      </c>
      <c r="B4" s="243" t="s">
        <v>359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 ht="36.75" customHeight="1">
      <c r="A5" s="243" t="s">
        <v>360</v>
      </c>
      <c r="B5" s="243" t="s">
        <v>361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</row>
    <row r="6" ht="36.75" customHeight="1">
      <c r="A6" s="243" t="s">
        <v>362</v>
      </c>
      <c r="B6" s="243" t="s">
        <v>363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ht="36.75" customHeight="1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ht="36.75" customHeight="1">
      <c r="A8" s="242"/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 ht="36.75" customHeight="1">
      <c r="A9" s="242"/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</row>
    <row r="10" ht="36.75" customHeight="1">
      <c r="A10" s="242"/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</row>
    <row r="11" ht="36.75" customHeight="1">
      <c r="A11" s="242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 ht="36.75" customHeight="1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 ht="36.75" customHeight="1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</row>
    <row r="14" ht="36.75" customHeigh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</row>
    <row r="15" ht="36.75" customHeight="1">
      <c r="A15" s="242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</row>
    <row r="16" ht="36.75" customHeight="1">
      <c r="A16" s="242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 ht="36.75" customHeight="1">
      <c r="A17" s="242"/>
      <c r="B17" s="242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 ht="36.75" customHeight="1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</row>
    <row r="19" ht="36.75" customHeight="1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</row>
    <row r="20" ht="36.75" customHeight="1">
      <c r="A20" s="242"/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</row>
    <row r="21" ht="36.75" customHeight="1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 ht="36.75" customHeight="1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</row>
    <row r="23" ht="36.75" customHeight="1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</row>
    <row r="24" ht="36.75" customHeight="1">
      <c r="A24" s="242"/>
      <c r="B24" s="242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</row>
    <row r="25" ht="36.75" customHeight="1">
      <c r="A25" s="242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</row>
    <row r="26" ht="36.75" customHeight="1">
      <c r="A26" s="242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</row>
    <row r="27" ht="36.75" customHeight="1">
      <c r="A27" s="242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</row>
    <row r="28" ht="36.75" customHeight="1">
      <c r="A28" s="242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</row>
    <row r="29" ht="36.75" customHeight="1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</row>
    <row r="30" ht="36.75" customHeight="1">
      <c r="A30" s="2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</row>
    <row r="31" ht="36.75" customHeight="1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</row>
    <row r="32" ht="36.75" customHeight="1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</row>
    <row r="33" ht="36.75" customHeight="1">
      <c r="A33" s="242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</row>
    <row r="34" ht="36.75" customHeight="1">
      <c r="A34" s="242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</row>
    <row r="35" ht="36.75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</row>
    <row r="36" ht="36.75" customHeight="1">
      <c r="A36" s="242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</row>
    <row r="37" ht="36.75" customHeight="1">
      <c r="A37" s="242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</row>
    <row r="38" ht="36.75" customHeight="1">
      <c r="A38" s="242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</row>
    <row r="39" ht="36.75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</row>
    <row r="40" ht="36.75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</row>
    <row r="41" ht="36.75" customHeight="1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</row>
    <row r="42" ht="36.75" customHeight="1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</row>
    <row r="43" ht="36.75" customHeight="1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</row>
    <row r="44" ht="36.75" customHeight="1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</row>
    <row r="45" ht="36.75" customHeight="1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</row>
    <row r="46" ht="36.75" customHeight="1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</row>
    <row r="47" ht="36.75" customHeight="1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</row>
    <row r="48" ht="36.75" customHeight="1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</row>
    <row r="49" ht="36.75" customHeight="1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</row>
    <row r="50" ht="36.75" customHeight="1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</row>
    <row r="51" ht="36.75" customHeight="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</row>
    <row r="52" ht="36.75" customHeight="1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</row>
    <row r="53" ht="36.75" customHeight="1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</row>
    <row r="54" ht="36.75" customHeight="1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</row>
    <row r="55" ht="36.75" customHeight="1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</row>
    <row r="56" ht="36.75" customHeight="1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</row>
    <row r="57" ht="36.75" customHeight="1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</row>
    <row r="58" ht="36.75" customHeight="1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</row>
    <row r="59" ht="36.75" customHeight="1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</row>
    <row r="60" ht="36.75" customHeight="1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</row>
    <row r="61" ht="36.75" customHeight="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</row>
    <row r="62" ht="36.75" customHeight="1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</row>
    <row r="63" ht="36.75" customHeight="1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</row>
    <row r="64" ht="36.75" customHeight="1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</row>
    <row r="65" ht="36.75" customHeight="1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</row>
    <row r="66" ht="36.75" customHeight="1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</row>
    <row r="67" ht="36.75" customHeight="1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</row>
    <row r="68" ht="36.75" customHeight="1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</row>
    <row r="69" ht="36.75" customHeight="1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</row>
    <row r="70" ht="36.75" customHeight="1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</row>
    <row r="71" ht="36.75" customHeight="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</row>
    <row r="72" ht="36.75" customHeight="1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</row>
    <row r="73" ht="36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</row>
    <row r="74" ht="36.75" customHeight="1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</row>
    <row r="75" ht="36.75" customHeight="1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</row>
    <row r="76" ht="36.75" customHeight="1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</row>
    <row r="77" ht="36.75" customHeight="1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</row>
    <row r="78" ht="36.75" customHeight="1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</row>
    <row r="79" ht="36.75" customHeight="1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</row>
    <row r="80" ht="36.75" customHeight="1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</row>
    <row r="81" ht="36.75" customHeight="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</row>
    <row r="82" ht="36.75" customHeight="1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</row>
    <row r="83" ht="36.75" customHeight="1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</row>
    <row r="84" ht="36.75" customHeight="1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</row>
    <row r="85" ht="36.75" customHeight="1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</row>
    <row r="86" ht="36.75" customHeight="1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</row>
    <row r="87" ht="36.75" customHeight="1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</row>
    <row r="88" ht="36.75" customHeight="1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</row>
    <row r="89" ht="36.75" customHeight="1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</row>
    <row r="90" ht="36.75" customHeight="1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</row>
    <row r="91" ht="36.75" customHeight="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</row>
    <row r="92" ht="36.75" customHeight="1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ht="36.75" customHeight="1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</row>
    <row r="94" ht="36.75" customHeight="1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</row>
    <row r="95" ht="36.75" customHeight="1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</row>
    <row r="96" ht="36.75" customHeight="1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</row>
    <row r="97" ht="36.75" customHeight="1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</row>
    <row r="98" ht="36.75" customHeight="1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</row>
    <row r="99" ht="36.75" customHeight="1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</row>
    <row r="100" ht="36.75" customHeight="1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</row>
    <row r="101" ht="36.75" customHeight="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</row>
    <row r="102" ht="36.75" customHeight="1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</row>
    <row r="103" ht="36.75" customHeight="1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</row>
    <row r="104" ht="36.75" customHeight="1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</row>
    <row r="105" ht="36.75" customHeight="1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</row>
    <row r="106" ht="36.75" customHeight="1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</row>
    <row r="107" ht="36.75" customHeight="1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</row>
    <row r="108" ht="36.75" customHeight="1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</row>
    <row r="109" ht="36.75" customHeight="1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</row>
    <row r="110" ht="36.75" customHeight="1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</row>
    <row r="111" ht="36.75" customHeight="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</row>
    <row r="112" ht="36.75" customHeight="1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</row>
    <row r="113" ht="36.75" customHeight="1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</row>
    <row r="114" ht="36.75" customHeight="1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</row>
    <row r="115" ht="36.75" customHeight="1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</row>
    <row r="116" ht="36.75" customHeight="1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</row>
    <row r="117" ht="36.75" customHeight="1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</row>
    <row r="118" ht="36.75" customHeight="1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</row>
    <row r="119" ht="36.75" customHeight="1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</row>
    <row r="120" ht="36.75" customHeight="1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</row>
    <row r="121" ht="36.75" customHeight="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</row>
    <row r="122" ht="36.75" customHeight="1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</row>
    <row r="123" ht="36.75" customHeight="1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</row>
    <row r="124" ht="36.75" customHeight="1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</row>
    <row r="125" ht="36.75" customHeight="1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</row>
    <row r="126" ht="36.75" customHeight="1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</row>
    <row r="127" ht="36.75" customHeight="1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</row>
    <row r="128" ht="36.75" customHeight="1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</row>
    <row r="129" ht="36.75" customHeight="1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</row>
    <row r="130" ht="36.75" customHeight="1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</row>
    <row r="131" ht="36.75" customHeight="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</row>
    <row r="132" ht="36.75" customHeight="1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</row>
    <row r="133" ht="36.75" customHeight="1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</row>
    <row r="134" ht="36.75" customHeight="1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</row>
    <row r="135" ht="36.75" customHeight="1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</row>
    <row r="136" ht="36.75" customHeight="1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</row>
    <row r="137" ht="36.75" customHeight="1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</row>
    <row r="138" ht="36.75" customHeight="1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</row>
    <row r="139" ht="36.75" customHeight="1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</row>
    <row r="140" ht="36.75" customHeight="1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</row>
    <row r="141" ht="36.75" customHeight="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</row>
    <row r="142" ht="36.75" customHeight="1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</row>
    <row r="143" ht="36.75" customHeight="1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</row>
    <row r="144" ht="36.75" customHeight="1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</row>
    <row r="145" ht="36.75" customHeight="1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</row>
    <row r="146" ht="36.75" customHeight="1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</row>
    <row r="147" ht="36.75" customHeight="1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</row>
    <row r="148" ht="36.75" customHeight="1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</row>
    <row r="149" ht="36.75" customHeight="1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</row>
    <row r="150" ht="36.75" customHeight="1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</row>
    <row r="151" ht="36.75" customHeight="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</row>
    <row r="152" ht="36.75" customHeight="1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</row>
    <row r="153" ht="36.75" customHeight="1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</row>
    <row r="154" ht="36.75" customHeight="1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</row>
    <row r="155" ht="36.75" customHeight="1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</row>
    <row r="156" ht="36.75" customHeight="1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</row>
    <row r="157" ht="36.75" customHeight="1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</row>
    <row r="158" ht="36.75" customHeight="1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</row>
    <row r="159" ht="36.75" customHeight="1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</row>
    <row r="160" ht="36.75" customHeight="1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</row>
    <row r="161" ht="36.75" customHeight="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</row>
    <row r="162" ht="36.75" customHeight="1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</row>
    <row r="163" ht="36.75" customHeight="1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</row>
    <row r="164" ht="36.75" customHeight="1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</row>
    <row r="165" ht="36.75" customHeight="1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</row>
    <row r="166" ht="36.75" customHeight="1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</row>
    <row r="167" ht="36.75" customHeight="1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</row>
    <row r="168" ht="36.75" customHeight="1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</row>
    <row r="169" ht="36.75" customHeight="1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</row>
    <row r="170" ht="36.75" customHeight="1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</row>
    <row r="171" ht="36.75" customHeight="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</row>
    <row r="172" ht="36.75" customHeight="1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</row>
    <row r="173" ht="36.75" customHeight="1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</row>
    <row r="174" ht="36.75" customHeight="1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</row>
    <row r="175" ht="36.75" customHeight="1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</row>
    <row r="176" ht="36.75" customHeight="1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</row>
    <row r="177" ht="36.75" customHeight="1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</row>
    <row r="178" ht="36.75" customHeight="1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</row>
    <row r="179" ht="36.75" customHeight="1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</row>
    <row r="180" ht="36.75" customHeight="1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</row>
    <row r="181" ht="36.75" customHeight="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</row>
    <row r="182" ht="36.75" customHeight="1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</row>
    <row r="183" ht="36.75" customHeight="1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</row>
    <row r="184" ht="36.75" customHeight="1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</row>
    <row r="185" ht="36.75" customHeight="1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</row>
    <row r="186" ht="36.75" customHeight="1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</row>
    <row r="187" ht="36.75" customHeight="1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</row>
    <row r="188" ht="36.75" customHeight="1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</row>
    <row r="189" ht="36.75" customHeight="1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</row>
    <row r="190" ht="36.75" customHeight="1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</row>
    <row r="191" ht="36.75" customHeight="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</row>
    <row r="192" ht="36.75" customHeight="1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</row>
    <row r="193" ht="36.75" customHeight="1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</row>
    <row r="194" ht="36.75" customHeight="1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</row>
    <row r="195" ht="36.75" customHeight="1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</row>
    <row r="196" ht="36.75" customHeight="1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</row>
    <row r="197" ht="36.75" customHeight="1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</row>
    <row r="198" ht="36.75" customHeight="1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</row>
    <row r="199" ht="36.75" customHeight="1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</row>
    <row r="200" ht="36.75" customHeight="1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</row>
    <row r="201" ht="36.75" customHeight="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</row>
    <row r="202" ht="36.75" customHeight="1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</row>
    <row r="203" ht="36.75" customHeight="1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</row>
    <row r="204" ht="36.75" customHeight="1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</row>
    <row r="205" ht="36.75" customHeight="1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</row>
    <row r="206" ht="36.75" customHeight="1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</row>
    <row r="207" ht="36.75" customHeight="1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</row>
    <row r="208" ht="36.75" customHeight="1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</row>
    <row r="209" ht="36.75" customHeight="1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</row>
    <row r="210" ht="36.75" customHeight="1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</row>
    <row r="211" ht="36.75" customHeight="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</row>
    <row r="212" ht="36.75" customHeight="1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</row>
    <row r="213" ht="36.75" customHeight="1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</row>
    <row r="214" ht="36.75" customHeight="1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</row>
    <row r="215" ht="36.75" customHeight="1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</row>
    <row r="216" ht="36.75" customHeight="1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</row>
    <row r="217" ht="36.75" customHeight="1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</row>
    <row r="218" ht="36.75" customHeight="1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</row>
    <row r="219" ht="36.75" customHeight="1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</row>
    <row r="220" ht="36.75" customHeight="1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</row>
    <row r="221" ht="36.75" customHeight="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</row>
    <row r="222" ht="36.75" customHeight="1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</row>
    <row r="223" ht="36.75" customHeight="1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</row>
    <row r="224" ht="36.75" customHeight="1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</row>
    <row r="225" ht="36.75" customHeight="1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</row>
    <row r="226" ht="36.75" customHeight="1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</row>
    <row r="227" ht="36.75" customHeight="1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</row>
    <row r="228" ht="36.75" customHeight="1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</row>
    <row r="229" ht="36.75" customHeight="1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</row>
    <row r="230" ht="36.75" customHeight="1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</row>
    <row r="231" ht="36.75" customHeight="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</row>
    <row r="232" ht="36.75" customHeight="1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</row>
    <row r="233" ht="36.75" customHeight="1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</row>
    <row r="234" ht="36.75" customHeight="1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</row>
    <row r="235" ht="36.75" customHeight="1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</row>
    <row r="236" ht="36.75" customHeight="1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</row>
    <row r="237" ht="36.75" customHeight="1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</row>
    <row r="238" ht="36.75" customHeight="1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</row>
    <row r="239" ht="36.75" customHeight="1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</row>
    <row r="240" ht="36.75" customHeight="1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</row>
    <row r="241" ht="36.75" customHeight="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</row>
    <row r="242" ht="36.75" customHeight="1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</row>
    <row r="243" ht="36.75" customHeight="1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</row>
    <row r="244" ht="36.75" customHeight="1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</row>
    <row r="245" ht="36.75" customHeight="1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</row>
    <row r="246" ht="36.75" customHeight="1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</row>
    <row r="247" ht="36.75" customHeight="1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</row>
    <row r="248" ht="36.75" customHeight="1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</row>
    <row r="249" ht="36.75" customHeight="1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</row>
    <row r="250" ht="36.75" customHeight="1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</row>
    <row r="251" ht="36.75" customHeight="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</row>
    <row r="252" ht="36.75" customHeight="1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</row>
    <row r="253" ht="36.75" customHeight="1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</row>
    <row r="254" ht="36.75" customHeight="1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</row>
    <row r="255" ht="36.75" customHeight="1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</row>
    <row r="256" ht="36.75" customHeight="1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</row>
    <row r="257" ht="36.75" customHeight="1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</row>
    <row r="258" ht="36.75" customHeight="1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</row>
    <row r="259" ht="36.75" customHeight="1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</row>
    <row r="260" ht="36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</row>
    <row r="261" ht="36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</row>
    <row r="262" ht="36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</row>
    <row r="263" ht="36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</row>
    <row r="264" ht="36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</row>
    <row r="265" ht="36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</row>
    <row r="266" ht="36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</row>
    <row r="267" ht="36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</row>
    <row r="268" ht="36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</row>
    <row r="269" ht="36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</row>
    <row r="270" ht="36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</row>
    <row r="271" ht="36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</row>
    <row r="272" ht="36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</row>
    <row r="273" ht="36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</row>
    <row r="274" ht="36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</row>
    <row r="275" ht="36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</row>
    <row r="276" ht="36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</row>
    <row r="277" ht="36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</row>
    <row r="278" ht="36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</row>
    <row r="279" ht="36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</row>
    <row r="280" ht="36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</row>
    <row r="281" ht="36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</row>
    <row r="282" ht="36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</row>
    <row r="283" ht="36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</row>
    <row r="284" ht="36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</row>
    <row r="285" ht="36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</row>
    <row r="286" ht="36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</row>
    <row r="287" ht="36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</row>
    <row r="288" ht="36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</row>
    <row r="289" ht="36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</row>
    <row r="290" ht="36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</row>
    <row r="291" ht="36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</row>
    <row r="292" ht="36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</row>
    <row r="293" ht="36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</row>
    <row r="294" ht="36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</row>
    <row r="295" ht="36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</row>
    <row r="296" ht="36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</row>
    <row r="297" ht="36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</row>
    <row r="298" ht="36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</row>
    <row r="299" ht="36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</row>
    <row r="300" ht="36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</row>
    <row r="301" ht="36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</row>
    <row r="302" ht="36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</row>
    <row r="303" ht="36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</row>
    <row r="304" ht="36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</row>
    <row r="305" ht="36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</row>
    <row r="306" ht="36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</row>
    <row r="307" ht="36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</row>
    <row r="308" ht="36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</row>
    <row r="309" ht="36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</row>
    <row r="310" ht="36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</row>
    <row r="311" ht="36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</row>
    <row r="312" ht="36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</row>
    <row r="313" ht="36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</row>
    <row r="314" ht="36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</row>
    <row r="315" ht="36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</row>
    <row r="316" ht="36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</row>
    <row r="317" ht="36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</row>
    <row r="318" ht="36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</row>
    <row r="319" ht="36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</row>
    <row r="320" ht="36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</row>
    <row r="321" ht="36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</row>
    <row r="322" ht="36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</row>
    <row r="323" ht="36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</row>
    <row r="324" ht="36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</row>
    <row r="325" ht="36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</row>
    <row r="326" ht="36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</row>
    <row r="327" ht="36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</row>
    <row r="328" ht="36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</row>
    <row r="329" ht="36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</row>
    <row r="330" ht="36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</row>
    <row r="331" ht="36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</row>
    <row r="332" ht="36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</row>
    <row r="333" ht="36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</row>
    <row r="334" ht="36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</row>
    <row r="335" ht="36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</row>
    <row r="336" ht="36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</row>
    <row r="337" ht="36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</row>
    <row r="338" ht="36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</row>
    <row r="339" ht="36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</row>
    <row r="340" ht="36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</row>
    <row r="341" ht="36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</row>
    <row r="342" ht="36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</row>
    <row r="343" ht="36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</row>
    <row r="344" ht="36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</row>
    <row r="345" ht="36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</row>
    <row r="346" ht="36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</row>
    <row r="347" ht="36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</row>
    <row r="348" ht="36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</row>
    <row r="349" ht="36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</row>
    <row r="350" ht="36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</row>
    <row r="351" ht="36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</row>
    <row r="352" ht="36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</row>
    <row r="353" ht="36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</row>
    <row r="354" ht="36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</row>
    <row r="355" ht="36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</row>
    <row r="356" ht="36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</row>
    <row r="357" ht="36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</row>
    <row r="358" ht="36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</row>
    <row r="359" ht="36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</row>
    <row r="360" ht="36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</row>
    <row r="361" ht="36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</row>
    <row r="362" ht="36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</row>
    <row r="363" ht="36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</row>
    <row r="364" ht="36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</row>
    <row r="365" ht="36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</row>
    <row r="366" ht="36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</row>
    <row r="367" ht="36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</row>
    <row r="368" ht="36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</row>
    <row r="369" ht="36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</row>
    <row r="370" ht="36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</row>
    <row r="371" ht="36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</row>
    <row r="372" ht="36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</row>
    <row r="373" ht="36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</row>
    <row r="374" ht="36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</row>
    <row r="375" ht="36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</row>
    <row r="376" ht="36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</row>
    <row r="377" ht="36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</row>
    <row r="378" ht="36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</row>
    <row r="379" ht="36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</row>
    <row r="380" ht="36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</row>
    <row r="381" ht="36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</row>
    <row r="382" ht="36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</row>
    <row r="383" ht="36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</row>
    <row r="384" ht="36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</row>
    <row r="385" ht="36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</row>
    <row r="386" ht="36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</row>
    <row r="387" ht="36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</row>
    <row r="388" ht="36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</row>
    <row r="389" ht="36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</row>
    <row r="390" ht="36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</row>
    <row r="391" ht="36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</row>
    <row r="392" ht="36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</row>
    <row r="393" ht="36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</row>
    <row r="394" ht="36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</row>
    <row r="395" ht="36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</row>
    <row r="396" ht="36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</row>
    <row r="397" ht="36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</row>
    <row r="398" ht="36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</row>
    <row r="399" ht="36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</row>
    <row r="400" ht="36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</row>
    <row r="401" ht="36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</row>
    <row r="402" ht="36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</row>
    <row r="403" ht="36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</row>
    <row r="404" ht="36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</row>
    <row r="405" ht="36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</row>
    <row r="406" ht="36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</row>
    <row r="407" ht="36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</row>
    <row r="408" ht="36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</row>
    <row r="409" ht="36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</row>
    <row r="410" ht="36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</row>
    <row r="411" ht="36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</row>
    <row r="412" ht="36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</row>
    <row r="413" ht="36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</row>
    <row r="414" ht="36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</row>
    <row r="415" ht="36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</row>
    <row r="416" ht="36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</row>
    <row r="417" ht="36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</row>
    <row r="418" ht="36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</row>
    <row r="419" ht="36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</row>
    <row r="420" ht="36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</row>
    <row r="421" ht="36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</row>
    <row r="422" ht="36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</row>
    <row r="423" ht="36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</row>
    <row r="424" ht="36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</row>
    <row r="425" ht="36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</row>
    <row r="426" ht="36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</row>
    <row r="427" ht="36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</row>
    <row r="428" ht="36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</row>
    <row r="429" ht="36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</row>
    <row r="430" ht="36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</row>
    <row r="431" ht="36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</row>
    <row r="432" ht="36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</row>
    <row r="433" ht="36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</row>
    <row r="434" ht="36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</row>
    <row r="435" ht="36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</row>
    <row r="436" ht="36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</row>
    <row r="437" ht="36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</row>
    <row r="438" ht="36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</row>
    <row r="439" ht="36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</row>
    <row r="440" ht="36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</row>
    <row r="441" ht="36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</row>
    <row r="442" ht="36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</row>
    <row r="443" ht="36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</row>
    <row r="444" ht="36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</row>
    <row r="445" ht="36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</row>
    <row r="446" ht="36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</row>
    <row r="447" ht="36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</row>
    <row r="448" ht="36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</row>
    <row r="449" ht="36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</row>
    <row r="450" ht="36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</row>
    <row r="451" ht="36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</row>
    <row r="452" ht="36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</row>
    <row r="453" ht="36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</row>
    <row r="454" ht="36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</row>
    <row r="455" ht="36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</row>
    <row r="456" ht="36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</row>
    <row r="457" ht="36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</row>
    <row r="458" ht="36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</row>
    <row r="459" ht="36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</row>
    <row r="460" ht="36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</row>
    <row r="461" ht="36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</row>
    <row r="462" ht="36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</row>
    <row r="463" ht="36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</row>
    <row r="464" ht="36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</row>
    <row r="465" ht="36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</row>
    <row r="466" ht="36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</row>
    <row r="467" ht="36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</row>
    <row r="468" ht="36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</row>
    <row r="469" ht="36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</row>
    <row r="470" ht="36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</row>
    <row r="471" ht="36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</row>
    <row r="472" ht="36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</row>
    <row r="473" ht="36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</row>
    <row r="474" ht="36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</row>
    <row r="475" ht="36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</row>
    <row r="476" ht="36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</row>
    <row r="477" ht="36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</row>
    <row r="478" ht="36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</row>
    <row r="479" ht="36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</row>
    <row r="480" ht="36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</row>
    <row r="481" ht="36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</row>
    <row r="482" ht="36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</row>
    <row r="483" ht="36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</row>
    <row r="484" ht="36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</row>
    <row r="485" ht="36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</row>
    <row r="486" ht="36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</row>
    <row r="487" ht="36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</row>
    <row r="488" ht="36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</row>
    <row r="489" ht="36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</row>
    <row r="490" ht="36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</row>
    <row r="491" ht="36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</row>
    <row r="492" ht="36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</row>
    <row r="493" ht="36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</row>
    <row r="494" ht="36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</row>
    <row r="495" ht="36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</row>
    <row r="496" ht="36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</row>
    <row r="497" ht="36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</row>
    <row r="498" ht="36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</row>
    <row r="499" ht="36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</row>
    <row r="500" ht="36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</row>
    <row r="501" ht="36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</row>
    <row r="502" ht="36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</row>
    <row r="503" ht="36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</row>
    <row r="504" ht="36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</row>
    <row r="505" ht="36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</row>
    <row r="506" ht="36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</row>
    <row r="507" ht="36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</row>
    <row r="508" ht="36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</row>
    <row r="509" ht="36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</row>
    <row r="510" ht="36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</row>
    <row r="511" ht="36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</row>
    <row r="512" ht="36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</row>
    <row r="513" ht="36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</row>
    <row r="514" ht="36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</row>
    <row r="515" ht="36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</row>
    <row r="516" ht="36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</row>
    <row r="517" ht="36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</row>
    <row r="518" ht="36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</row>
    <row r="519" ht="36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</row>
    <row r="520" ht="36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</row>
    <row r="521" ht="36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</row>
    <row r="522" ht="36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</row>
    <row r="523" ht="36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</row>
    <row r="524" ht="36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</row>
    <row r="525" ht="36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</row>
    <row r="526" ht="36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</row>
    <row r="527" ht="36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</row>
    <row r="528" ht="36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</row>
    <row r="529" ht="36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</row>
    <row r="530" ht="36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</row>
    <row r="531" ht="36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</row>
    <row r="532" ht="36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</row>
    <row r="533" ht="36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</row>
    <row r="534" ht="36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</row>
    <row r="535" ht="36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</row>
    <row r="536" ht="36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</row>
    <row r="537" ht="36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</row>
    <row r="538" ht="36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</row>
    <row r="539" ht="36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</row>
    <row r="540" ht="36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</row>
    <row r="541" ht="36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</row>
    <row r="542" ht="36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</row>
    <row r="543" ht="36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</row>
    <row r="544" ht="36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</row>
    <row r="545" ht="36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</row>
    <row r="546" ht="36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</row>
    <row r="547" ht="36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</row>
    <row r="548" ht="36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</row>
    <row r="549" ht="36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</row>
    <row r="550" ht="36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</row>
    <row r="551" ht="36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</row>
    <row r="552" ht="36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</row>
    <row r="553" ht="36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</row>
    <row r="554" ht="36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</row>
    <row r="555" ht="36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</row>
    <row r="556" ht="36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</row>
    <row r="557" ht="36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</row>
    <row r="558" ht="36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</row>
    <row r="559" ht="36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</row>
    <row r="560" ht="36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</row>
    <row r="561" ht="36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</row>
    <row r="562" ht="36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</row>
    <row r="563" ht="36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2"/>
    </row>
    <row r="564" ht="36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2"/>
    </row>
    <row r="565" ht="36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2"/>
    </row>
    <row r="566" ht="36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2"/>
    </row>
    <row r="567" ht="36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2"/>
    </row>
    <row r="568" ht="36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2"/>
    </row>
    <row r="569" ht="36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2"/>
    </row>
    <row r="570" ht="36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2"/>
    </row>
    <row r="571" ht="36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2"/>
    </row>
    <row r="572" ht="36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2"/>
    </row>
    <row r="573" ht="36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2"/>
    </row>
    <row r="574" ht="36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2"/>
    </row>
    <row r="575" ht="36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2"/>
    </row>
    <row r="576" ht="36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2"/>
    </row>
    <row r="577" ht="36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2"/>
    </row>
    <row r="578" ht="36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2"/>
    </row>
    <row r="579" ht="36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2"/>
    </row>
    <row r="580" ht="36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2"/>
    </row>
    <row r="581" ht="36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2"/>
    </row>
    <row r="582" ht="36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2"/>
    </row>
    <row r="583" ht="36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2"/>
    </row>
    <row r="584" ht="36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2"/>
    </row>
    <row r="585" ht="36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2"/>
    </row>
    <row r="586" ht="36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2"/>
    </row>
    <row r="587" ht="36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2"/>
    </row>
    <row r="588" ht="36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2"/>
    </row>
    <row r="589" ht="36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2"/>
    </row>
    <row r="590" ht="36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2"/>
    </row>
    <row r="591" ht="36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2"/>
    </row>
    <row r="592" ht="36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2"/>
    </row>
    <row r="593" ht="36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2"/>
    </row>
    <row r="594" ht="36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2"/>
    </row>
    <row r="595" ht="36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2"/>
    </row>
    <row r="596" ht="36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2"/>
    </row>
    <row r="597" ht="36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</row>
    <row r="598" ht="36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2"/>
    </row>
    <row r="599" ht="36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</row>
    <row r="600" ht="36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2"/>
    </row>
    <row r="601" ht="36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2"/>
    </row>
    <row r="602" ht="36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2"/>
    </row>
    <row r="603" ht="36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2"/>
    </row>
    <row r="604" ht="36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2"/>
    </row>
    <row r="605" ht="36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2"/>
    </row>
    <row r="606" ht="36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2"/>
    </row>
    <row r="607" ht="36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2"/>
    </row>
    <row r="608" ht="36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2"/>
    </row>
    <row r="609" ht="36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2"/>
    </row>
    <row r="610" ht="36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2"/>
    </row>
    <row r="611" ht="36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2"/>
    </row>
    <row r="612" ht="36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2"/>
    </row>
    <row r="613" ht="36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  <c r="Z613" s="242"/>
    </row>
    <row r="614" ht="36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  <c r="Z614" s="242"/>
    </row>
    <row r="615" ht="36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  <c r="Z615" s="242"/>
    </row>
    <row r="616" ht="36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  <c r="Z616" s="242"/>
    </row>
    <row r="617" ht="36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  <c r="Z617" s="242"/>
    </row>
    <row r="618" ht="36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  <c r="Z618" s="242"/>
    </row>
    <row r="619" ht="36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  <c r="Z619" s="242"/>
    </row>
    <row r="620" ht="36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  <c r="Z620" s="242"/>
    </row>
    <row r="621" ht="36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  <c r="Z621" s="242"/>
    </row>
    <row r="622" ht="36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  <c r="Z622" s="242"/>
    </row>
    <row r="623" ht="36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  <c r="Z623" s="242"/>
    </row>
    <row r="624" ht="36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  <c r="Z624" s="242"/>
    </row>
    <row r="625" ht="36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  <c r="Z625" s="242"/>
    </row>
    <row r="626" ht="36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  <c r="Z626" s="242"/>
    </row>
    <row r="627" ht="36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  <c r="Z627" s="242"/>
    </row>
    <row r="628" ht="36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  <c r="Z628" s="242"/>
    </row>
    <row r="629" ht="36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  <c r="Z629" s="242"/>
    </row>
    <row r="630" ht="36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  <c r="Z630" s="242"/>
    </row>
    <row r="631" ht="36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  <c r="Z631" s="242"/>
    </row>
    <row r="632" ht="36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  <c r="Z632" s="242"/>
    </row>
    <row r="633" ht="36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  <c r="Z633" s="242"/>
    </row>
    <row r="634" ht="36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  <c r="Z634" s="242"/>
    </row>
    <row r="635" ht="36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  <c r="Z635" s="242"/>
    </row>
    <row r="636" ht="36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  <c r="Z636" s="242"/>
    </row>
    <row r="637" ht="36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  <c r="Z637" s="242"/>
    </row>
    <row r="638" ht="36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  <c r="Z638" s="242"/>
    </row>
    <row r="639" ht="36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  <c r="Z639" s="242"/>
    </row>
    <row r="640" ht="36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  <c r="Z640" s="242"/>
    </row>
    <row r="641" ht="36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  <c r="Z641" s="242"/>
    </row>
    <row r="642" ht="36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  <c r="Z642" s="242"/>
    </row>
    <row r="643" ht="36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  <c r="Z643" s="242"/>
    </row>
    <row r="644" ht="36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  <c r="Z644" s="242"/>
    </row>
    <row r="645" ht="36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  <c r="Z645" s="242"/>
    </row>
    <row r="646" ht="36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  <c r="Z646" s="242"/>
    </row>
    <row r="647" ht="36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  <c r="Z647" s="242"/>
    </row>
    <row r="648" ht="36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  <c r="Z648" s="242"/>
    </row>
    <row r="649" ht="36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  <c r="Z649" s="242"/>
    </row>
    <row r="650" ht="36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  <c r="Z650" s="242"/>
    </row>
    <row r="651" ht="36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  <c r="Z651" s="242"/>
    </row>
    <row r="652" ht="36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  <c r="Z652" s="242"/>
    </row>
    <row r="653" ht="36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  <c r="Z653" s="242"/>
    </row>
    <row r="654" ht="36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  <c r="Z654" s="242"/>
    </row>
    <row r="655" ht="36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  <c r="Z655" s="242"/>
    </row>
    <row r="656" ht="36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  <c r="Z656" s="242"/>
    </row>
    <row r="657" ht="36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  <c r="Z657" s="242"/>
    </row>
    <row r="658" ht="36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  <c r="Z658" s="242"/>
    </row>
    <row r="659" ht="36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  <c r="Z659" s="242"/>
    </row>
    <row r="660" ht="36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  <c r="Z660" s="242"/>
    </row>
    <row r="661" ht="36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  <c r="Z661" s="242"/>
    </row>
    <row r="662" ht="36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  <c r="Z662" s="242"/>
    </row>
    <row r="663" ht="36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  <c r="Z663" s="242"/>
    </row>
    <row r="664" ht="36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  <c r="Z664" s="242"/>
    </row>
    <row r="665" ht="36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  <c r="Z665" s="242"/>
    </row>
    <row r="666" ht="36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  <c r="Z666" s="242"/>
    </row>
    <row r="667" ht="36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  <c r="Z667" s="242"/>
    </row>
    <row r="668" ht="36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  <c r="Z668" s="242"/>
    </row>
    <row r="669" ht="36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  <c r="Z669" s="242"/>
    </row>
    <row r="670" ht="36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  <c r="Z670" s="242"/>
    </row>
    <row r="671" ht="36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  <c r="Z671" s="242"/>
    </row>
    <row r="672" ht="36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  <c r="Z672" s="242"/>
    </row>
    <row r="673" ht="36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  <c r="Z673" s="242"/>
    </row>
    <row r="674" ht="36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Z674" s="242"/>
    </row>
    <row r="675" ht="36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  <c r="Z675" s="242"/>
    </row>
    <row r="676" ht="36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  <c r="Z676" s="242"/>
    </row>
    <row r="677" ht="36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  <c r="Z677" s="242"/>
    </row>
    <row r="678" ht="36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  <c r="Z678" s="242"/>
    </row>
    <row r="679" ht="36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  <c r="Z679" s="242"/>
    </row>
    <row r="680" ht="36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  <c r="Z680" s="242"/>
    </row>
    <row r="681" ht="36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  <c r="Z681" s="242"/>
    </row>
    <row r="682" ht="36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  <c r="Z682" s="242"/>
    </row>
    <row r="683" ht="36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  <c r="Z683" s="242"/>
    </row>
    <row r="684" ht="36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  <c r="Z684" s="242"/>
    </row>
    <row r="685" ht="36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  <c r="Z685" s="242"/>
    </row>
    <row r="686" ht="36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  <c r="Z686" s="242"/>
    </row>
    <row r="687" ht="36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  <c r="Z687" s="242"/>
    </row>
    <row r="688" ht="36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  <c r="Z688" s="242"/>
    </row>
    <row r="689" ht="36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  <c r="Z689" s="242"/>
    </row>
    <row r="690" ht="36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  <c r="Z690" s="242"/>
    </row>
    <row r="691" ht="36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  <c r="Z691" s="242"/>
    </row>
    <row r="692" ht="36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  <c r="Z692" s="242"/>
    </row>
    <row r="693" ht="36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  <c r="Z693" s="242"/>
    </row>
    <row r="694" ht="36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  <c r="Z694" s="242"/>
    </row>
    <row r="695" ht="36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  <c r="Z695" s="242"/>
    </row>
    <row r="696" ht="36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  <c r="Z696" s="242"/>
    </row>
    <row r="697" ht="36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  <c r="Z697" s="242"/>
    </row>
    <row r="698" ht="36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  <c r="Z698" s="242"/>
    </row>
    <row r="699" ht="36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  <c r="Z699" s="242"/>
    </row>
    <row r="700" ht="36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  <c r="Z700" s="242"/>
    </row>
    <row r="701" ht="36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  <c r="Z701" s="242"/>
    </row>
    <row r="702" ht="36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  <c r="Z702" s="242"/>
    </row>
    <row r="703" ht="36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  <c r="Z703" s="242"/>
    </row>
    <row r="704" ht="36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  <c r="Z704" s="242"/>
    </row>
    <row r="705" ht="36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  <c r="Z705" s="242"/>
    </row>
    <row r="706" ht="36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  <c r="Z706" s="242"/>
    </row>
    <row r="707" ht="36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  <c r="Z707" s="242"/>
    </row>
    <row r="708" ht="36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  <c r="Z708" s="242"/>
    </row>
    <row r="709" ht="36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  <c r="Z709" s="242"/>
    </row>
    <row r="710" ht="36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  <c r="Z710" s="242"/>
    </row>
    <row r="711" ht="36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  <c r="Z711" s="242"/>
    </row>
    <row r="712" ht="36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  <c r="Z712" s="242"/>
    </row>
    <row r="713" ht="36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  <c r="Z713" s="242"/>
    </row>
    <row r="714" ht="36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  <c r="Z714" s="242"/>
    </row>
    <row r="715" ht="36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  <c r="Z715" s="242"/>
    </row>
    <row r="716" ht="36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  <c r="Z716" s="242"/>
    </row>
    <row r="717" ht="36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  <c r="Z717" s="242"/>
    </row>
    <row r="718" ht="36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  <c r="Z718" s="242"/>
    </row>
    <row r="719" ht="36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  <c r="Z719" s="242"/>
    </row>
    <row r="720" ht="36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  <c r="Z720" s="242"/>
    </row>
    <row r="721" ht="36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  <c r="Z721" s="242"/>
    </row>
    <row r="722" ht="36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  <c r="Z722" s="242"/>
    </row>
    <row r="723" ht="36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  <c r="Z723" s="242"/>
    </row>
    <row r="724" ht="36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  <c r="Z724" s="242"/>
    </row>
    <row r="725" ht="36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  <c r="Z725" s="242"/>
    </row>
    <row r="726" ht="36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  <c r="Z726" s="242"/>
    </row>
    <row r="727" ht="36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  <c r="Z727" s="242"/>
    </row>
    <row r="728" ht="36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  <c r="Z728" s="242"/>
    </row>
    <row r="729" ht="36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  <c r="Z729" s="242"/>
    </row>
    <row r="730" ht="36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  <c r="Z730" s="242"/>
    </row>
    <row r="731" ht="36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  <c r="Z731" s="242"/>
    </row>
    <row r="732" ht="36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  <c r="Z732" s="242"/>
    </row>
    <row r="733" ht="36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  <c r="Z733" s="242"/>
    </row>
    <row r="734" ht="36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  <c r="Z734" s="242"/>
    </row>
    <row r="735" ht="36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  <c r="Z735" s="242"/>
    </row>
    <row r="736" ht="36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  <c r="Z736" s="242"/>
    </row>
    <row r="737" ht="36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  <c r="Z737" s="242"/>
    </row>
    <row r="738" ht="36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  <c r="Z738" s="242"/>
    </row>
    <row r="739" ht="36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  <c r="Z739" s="242"/>
    </row>
    <row r="740" ht="36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  <c r="Z740" s="242"/>
    </row>
    <row r="741" ht="36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  <c r="Z741" s="242"/>
    </row>
    <row r="742" ht="36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  <c r="Z742" s="242"/>
    </row>
    <row r="743" ht="36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  <c r="Z743" s="242"/>
    </row>
    <row r="744" ht="36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  <c r="Z744" s="242"/>
    </row>
    <row r="745" ht="36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  <c r="Z745" s="242"/>
    </row>
    <row r="746" ht="36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  <c r="Z746" s="242"/>
    </row>
    <row r="747" ht="36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  <c r="Z747" s="242"/>
    </row>
    <row r="748" ht="36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  <c r="Z748" s="242"/>
    </row>
    <row r="749" ht="36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  <c r="Z749" s="242"/>
    </row>
    <row r="750" ht="36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  <c r="Z750" s="242"/>
    </row>
    <row r="751" ht="36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  <c r="Z751" s="242"/>
    </row>
    <row r="752" ht="36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  <c r="Z752" s="242"/>
    </row>
    <row r="753" ht="36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  <c r="Z753" s="242"/>
    </row>
    <row r="754" ht="36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  <c r="Z754" s="242"/>
    </row>
    <row r="755" ht="36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  <c r="Z755" s="242"/>
    </row>
    <row r="756" ht="36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  <c r="Z756" s="242"/>
    </row>
    <row r="757" ht="36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  <c r="Z757" s="242"/>
    </row>
    <row r="758" ht="36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  <c r="Z758" s="242"/>
    </row>
    <row r="759" ht="36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  <c r="Z759" s="242"/>
    </row>
    <row r="760" ht="36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  <c r="Z760" s="242"/>
    </row>
    <row r="761" ht="36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  <c r="Z761" s="242"/>
    </row>
    <row r="762" ht="36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  <c r="Z762" s="242"/>
    </row>
    <row r="763" ht="36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2"/>
    </row>
    <row r="764" ht="36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  <c r="Z764" s="242"/>
    </row>
    <row r="765" ht="36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  <c r="Z765" s="242"/>
    </row>
    <row r="766" ht="36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  <c r="Z766" s="242"/>
    </row>
    <row r="767" ht="36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  <c r="Z767" s="242"/>
    </row>
    <row r="768" ht="36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  <c r="Z768" s="242"/>
    </row>
    <row r="769" ht="36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  <c r="Z769" s="242"/>
    </row>
    <row r="770" ht="36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  <c r="Z770" s="242"/>
    </row>
    <row r="771" ht="36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  <c r="Z771" s="242"/>
    </row>
    <row r="772" ht="36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  <c r="Z772" s="242"/>
    </row>
    <row r="773" ht="36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  <c r="Z773" s="242"/>
    </row>
    <row r="774" ht="36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  <c r="Z774" s="242"/>
    </row>
    <row r="775" ht="36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  <c r="Z775" s="242"/>
    </row>
    <row r="776" ht="36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  <c r="Z776" s="242"/>
    </row>
    <row r="777" ht="36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  <c r="Z777" s="242"/>
    </row>
    <row r="778" ht="36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  <c r="Z778" s="242"/>
    </row>
    <row r="779" ht="36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  <c r="Z779" s="242"/>
    </row>
    <row r="780" ht="36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  <c r="Z780" s="242"/>
    </row>
    <row r="781" ht="36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  <c r="Z781" s="242"/>
    </row>
    <row r="782" ht="36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  <c r="Z782" s="242"/>
    </row>
    <row r="783" ht="36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  <c r="Z783" s="242"/>
    </row>
    <row r="784" ht="36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  <c r="Z784" s="242"/>
    </row>
    <row r="785" ht="36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  <c r="Z785" s="242"/>
    </row>
    <row r="786" ht="36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  <c r="Z786" s="242"/>
    </row>
    <row r="787" ht="36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  <c r="Z787" s="242"/>
    </row>
    <row r="788" ht="36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  <c r="Z788" s="242"/>
    </row>
    <row r="789" ht="36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  <c r="Z789" s="242"/>
    </row>
    <row r="790" ht="36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  <c r="Z790" s="242"/>
    </row>
    <row r="791" ht="36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  <c r="Z791" s="242"/>
    </row>
    <row r="792" ht="36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  <c r="Z792" s="242"/>
    </row>
    <row r="793" ht="36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  <c r="Z793" s="242"/>
    </row>
    <row r="794" ht="36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  <c r="Z794" s="242"/>
    </row>
    <row r="795" ht="36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  <c r="Z795" s="242"/>
    </row>
    <row r="796" ht="36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  <c r="Z796" s="242"/>
    </row>
    <row r="797" ht="36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  <c r="Z797" s="242"/>
    </row>
    <row r="798" ht="36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  <c r="Z798" s="242"/>
    </row>
    <row r="799" ht="36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  <c r="Z799" s="242"/>
    </row>
    <row r="800" ht="36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  <c r="Z800" s="242"/>
    </row>
    <row r="801" ht="36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  <c r="Z801" s="242"/>
    </row>
    <row r="802" ht="36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  <c r="Z802" s="242"/>
    </row>
    <row r="803" ht="36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  <c r="Z803" s="242"/>
    </row>
    <row r="804" ht="36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  <c r="Z804" s="242"/>
    </row>
    <row r="805" ht="36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  <c r="Z805" s="242"/>
    </row>
    <row r="806" ht="36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  <c r="Z806" s="242"/>
    </row>
    <row r="807" ht="36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  <c r="Z807" s="242"/>
    </row>
    <row r="808" ht="36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  <c r="Z808" s="242"/>
    </row>
    <row r="809" ht="36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  <c r="Z809" s="242"/>
    </row>
    <row r="810" ht="36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  <c r="Z810" s="242"/>
    </row>
    <row r="811" ht="36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  <c r="Z811" s="242"/>
    </row>
    <row r="812" ht="36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  <c r="Z812" s="242"/>
    </row>
    <row r="813" ht="36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  <c r="Z813" s="242"/>
    </row>
    <row r="814" ht="36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  <c r="Z814" s="242"/>
    </row>
    <row r="815" ht="36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  <c r="Z815" s="242"/>
    </row>
    <row r="816" ht="36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  <c r="Z816" s="242"/>
    </row>
    <row r="817" ht="36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  <c r="Z817" s="242"/>
    </row>
    <row r="818" ht="36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  <c r="Z818" s="242"/>
    </row>
    <row r="819" ht="36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  <c r="Z819" s="242"/>
    </row>
    <row r="820" ht="36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  <c r="Z820" s="242"/>
    </row>
    <row r="821" ht="36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  <c r="Z821" s="242"/>
    </row>
    <row r="822" ht="36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  <c r="Z822" s="242"/>
    </row>
    <row r="823" ht="36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  <c r="Z823" s="242"/>
    </row>
    <row r="824" ht="36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  <c r="Z824" s="242"/>
    </row>
    <row r="825" ht="36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  <c r="Z825" s="242"/>
    </row>
    <row r="826" ht="36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  <c r="Z826" s="242"/>
    </row>
    <row r="827" ht="36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  <c r="Z827" s="242"/>
    </row>
    <row r="828" ht="36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  <c r="Z828" s="242"/>
    </row>
    <row r="829" ht="36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  <c r="Z829" s="242"/>
    </row>
    <row r="830" ht="36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  <c r="Z830" s="242"/>
    </row>
    <row r="831" ht="36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  <c r="Z831" s="242"/>
    </row>
    <row r="832" ht="36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  <c r="Z832" s="242"/>
    </row>
    <row r="833" ht="36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  <c r="Z833" s="242"/>
    </row>
    <row r="834" ht="36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  <c r="Z834" s="242"/>
    </row>
    <row r="835" ht="36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  <c r="Z835" s="242"/>
    </row>
    <row r="836" ht="36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  <c r="Z836" s="242"/>
    </row>
    <row r="837" ht="36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  <c r="Z837" s="242"/>
    </row>
    <row r="838" ht="36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  <c r="Z838" s="242"/>
    </row>
    <row r="839" ht="36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  <c r="Z839" s="242"/>
    </row>
    <row r="840" ht="36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  <c r="Z840" s="242"/>
    </row>
    <row r="841" ht="36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  <c r="Z841" s="242"/>
    </row>
    <row r="842" ht="36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  <c r="Z842" s="242"/>
    </row>
    <row r="843" ht="36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  <c r="Z843" s="242"/>
    </row>
    <row r="844" ht="36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  <c r="Z844" s="242"/>
    </row>
    <row r="845" ht="36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  <c r="Z845" s="242"/>
    </row>
    <row r="846" ht="36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  <c r="Z846" s="242"/>
    </row>
    <row r="847" ht="36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  <c r="Z847" s="242"/>
    </row>
    <row r="848" ht="36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  <c r="Z848" s="242"/>
    </row>
    <row r="849" ht="36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  <c r="Z849" s="242"/>
    </row>
    <row r="850" ht="36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  <c r="Z850" s="242"/>
    </row>
    <row r="851" ht="36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  <c r="Z851" s="242"/>
    </row>
    <row r="852" ht="36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  <c r="Z852" s="242"/>
    </row>
    <row r="853" ht="36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  <c r="Z853" s="242"/>
    </row>
    <row r="854" ht="36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  <c r="Z854" s="242"/>
    </row>
    <row r="855" ht="36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  <c r="Z855" s="242"/>
    </row>
    <row r="856" ht="36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  <c r="Z856" s="242"/>
    </row>
    <row r="857" ht="36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  <c r="Z857" s="242"/>
    </row>
    <row r="858" ht="36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  <c r="Z858" s="242"/>
    </row>
    <row r="859" ht="36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  <c r="Z859" s="242"/>
    </row>
    <row r="860" ht="36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  <c r="Z860" s="242"/>
    </row>
    <row r="861" ht="36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  <c r="Z861" s="242"/>
    </row>
    <row r="862" ht="36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  <c r="Z862" s="242"/>
    </row>
    <row r="863" ht="36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  <c r="Z863" s="242"/>
    </row>
    <row r="864" ht="36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  <c r="Z864" s="242"/>
    </row>
    <row r="865" ht="36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  <c r="Z865" s="242"/>
    </row>
    <row r="866" ht="36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  <c r="Z866" s="242"/>
    </row>
    <row r="867" ht="36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  <c r="Z867" s="242"/>
    </row>
    <row r="868" ht="36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  <c r="Z868" s="242"/>
    </row>
    <row r="869" ht="36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  <c r="Z869" s="242"/>
    </row>
    <row r="870" ht="36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  <c r="Z870" s="242"/>
    </row>
    <row r="871" ht="36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  <c r="Z871" s="242"/>
    </row>
    <row r="872" ht="36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  <c r="Z872" s="242"/>
    </row>
    <row r="873" ht="36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  <c r="Z873" s="242"/>
    </row>
    <row r="874" ht="36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  <c r="Z874" s="242"/>
    </row>
    <row r="875" ht="36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  <c r="Z875" s="242"/>
    </row>
    <row r="876" ht="36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  <c r="Z876" s="242"/>
    </row>
    <row r="877" ht="36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  <c r="Z877" s="242"/>
    </row>
    <row r="878" ht="36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  <c r="Z878" s="242"/>
    </row>
    <row r="879" ht="36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2"/>
    </row>
    <row r="880" ht="36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2"/>
    </row>
    <row r="881" ht="36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2"/>
    </row>
    <row r="882" ht="36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2"/>
    </row>
    <row r="883" ht="36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2"/>
    </row>
    <row r="884" ht="36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2"/>
    </row>
    <row r="885" ht="36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2"/>
    </row>
    <row r="886" ht="36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2"/>
    </row>
    <row r="887" ht="36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2"/>
    </row>
    <row r="888" ht="36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2"/>
    </row>
    <row r="889" ht="36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2"/>
    </row>
    <row r="890" ht="36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2"/>
    </row>
    <row r="891" ht="36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2"/>
    </row>
    <row r="892" ht="36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2"/>
    </row>
    <row r="893" ht="36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2"/>
    </row>
    <row r="894" ht="36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2"/>
    </row>
    <row r="895" ht="36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2"/>
    </row>
    <row r="896" ht="36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2"/>
    </row>
    <row r="897" ht="36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2"/>
    </row>
    <row r="898" ht="36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2"/>
    </row>
    <row r="899" ht="36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2"/>
    </row>
    <row r="900" ht="36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2"/>
    </row>
    <row r="901" ht="36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2"/>
    </row>
    <row r="902" ht="36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2"/>
    </row>
    <row r="903" ht="36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2"/>
    </row>
    <row r="904" ht="36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2"/>
    </row>
    <row r="905" ht="36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2"/>
    </row>
    <row r="906" ht="36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</row>
    <row r="907" ht="36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2"/>
    </row>
    <row r="908" ht="36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2"/>
    </row>
    <row r="909" ht="36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2"/>
    </row>
    <row r="910" ht="36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2"/>
    </row>
    <row r="911" ht="36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2"/>
    </row>
    <row r="912" ht="36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2"/>
    </row>
    <row r="913" ht="36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2"/>
    </row>
    <row r="914" ht="36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2"/>
    </row>
    <row r="915" ht="36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2"/>
    </row>
    <row r="916" ht="36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2"/>
    </row>
    <row r="917" ht="36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2"/>
    </row>
    <row r="918" ht="36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2"/>
    </row>
    <row r="919" ht="36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2"/>
    </row>
    <row r="920" ht="36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2"/>
    </row>
    <row r="921" ht="36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2"/>
    </row>
    <row r="922" ht="36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2"/>
    </row>
    <row r="923" ht="36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2"/>
    </row>
    <row r="924" ht="36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2"/>
    </row>
    <row r="925" ht="36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2"/>
    </row>
    <row r="926" ht="36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2"/>
    </row>
    <row r="927" ht="36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2"/>
    </row>
    <row r="928" ht="36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2"/>
    </row>
    <row r="929" ht="36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2"/>
    </row>
    <row r="930" ht="36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2"/>
    </row>
    <row r="931" ht="36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2"/>
    </row>
    <row r="932" ht="36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2"/>
    </row>
    <row r="933" ht="36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2"/>
    </row>
    <row r="934" ht="36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2"/>
    </row>
    <row r="935" ht="36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2"/>
    </row>
    <row r="936" ht="36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2"/>
    </row>
    <row r="937" ht="36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2"/>
    </row>
    <row r="938" ht="36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2"/>
    </row>
    <row r="939" ht="36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2"/>
    </row>
    <row r="940" ht="36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2"/>
    </row>
    <row r="941" ht="36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2"/>
    </row>
    <row r="942" ht="36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2"/>
    </row>
    <row r="943" ht="36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2"/>
    </row>
    <row r="944" ht="36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2"/>
    </row>
    <row r="945" ht="36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2"/>
    </row>
    <row r="946" ht="36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2"/>
    </row>
    <row r="947" ht="36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2"/>
    </row>
    <row r="948" ht="36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2"/>
    </row>
    <row r="949" ht="36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2"/>
    </row>
    <row r="950" ht="36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2"/>
    </row>
    <row r="951" ht="36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2"/>
    </row>
    <row r="952" ht="36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2"/>
    </row>
    <row r="953" ht="36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2"/>
    </row>
    <row r="954" ht="36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2"/>
    </row>
    <row r="955" ht="36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2"/>
    </row>
    <row r="956" ht="36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2"/>
    </row>
    <row r="957" ht="36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2"/>
    </row>
    <row r="958" ht="36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2"/>
    </row>
    <row r="959" ht="36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2"/>
    </row>
    <row r="960" ht="36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2"/>
    </row>
    <row r="961" ht="36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2"/>
    </row>
    <row r="962" ht="36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2"/>
    </row>
    <row r="963" ht="36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2"/>
    </row>
    <row r="964" ht="36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2"/>
    </row>
    <row r="965" ht="36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2"/>
    </row>
    <row r="966" ht="36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2"/>
    </row>
    <row r="967" ht="36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2"/>
    </row>
    <row r="968" ht="36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2"/>
    </row>
    <row r="969" ht="36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2"/>
    </row>
    <row r="970" ht="36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2"/>
    </row>
    <row r="971" ht="36.75" customHeight="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  <c r="Z971" s="242"/>
    </row>
    <row r="972" ht="36.75" customHeight="1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  <c r="Z972" s="242"/>
    </row>
    <row r="973" ht="36.75" customHeight="1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  <c r="Z973" s="242"/>
    </row>
    <row r="974" ht="36.75" customHeight="1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  <c r="Z974" s="242"/>
    </row>
    <row r="975" ht="36.75" customHeight="1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  <c r="Z975" s="242"/>
    </row>
    <row r="976" ht="36.75" customHeight="1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  <c r="Z976" s="242"/>
    </row>
    <row r="977" ht="36.75" customHeight="1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  <c r="Z977" s="242"/>
    </row>
    <row r="978" ht="36.75" customHeight="1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  <c r="Z978" s="242"/>
    </row>
    <row r="979" ht="36.75" customHeight="1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  <c r="Z979" s="242"/>
    </row>
    <row r="980" ht="36.75" customHeight="1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  <c r="Z980" s="242"/>
    </row>
    <row r="981" ht="36.75" customHeight="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  <c r="Z981" s="242"/>
    </row>
    <row r="982" ht="36.75" customHeight="1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  <c r="Z982" s="242"/>
    </row>
    <row r="983" ht="36.75" customHeight="1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  <c r="Z983" s="242"/>
    </row>
    <row r="984" ht="36.75" customHeight="1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  <c r="Z984" s="242"/>
    </row>
    <row r="985" ht="36.75" customHeight="1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  <c r="Z985" s="242"/>
    </row>
    <row r="986" ht="36.75" customHeight="1">
      <c r="A986" s="242"/>
      <c r="B986" s="242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  <c r="Z986" s="242"/>
    </row>
    <row r="987" ht="36.75" customHeight="1">
      <c r="A987" s="242"/>
      <c r="B987" s="242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  <c r="Z987" s="242"/>
    </row>
    <row r="988" ht="36.75" customHeight="1">
      <c r="A988" s="242"/>
      <c r="B988" s="242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  <c r="Z988" s="242"/>
    </row>
    <row r="989" ht="36.75" customHeight="1">
      <c r="A989" s="242"/>
      <c r="B989" s="242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  <c r="Z989" s="242"/>
    </row>
    <row r="990" ht="36.75" customHeight="1">
      <c r="A990" s="242"/>
      <c r="B990" s="242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  <c r="Z990" s="242"/>
    </row>
    <row r="991" ht="36.75" customHeight="1">
      <c r="A991" s="242"/>
      <c r="B991" s="242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  <c r="Z991" s="242"/>
    </row>
    <row r="992" ht="36.75" customHeight="1">
      <c r="A992" s="242"/>
      <c r="B992" s="242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  <c r="Z992" s="242"/>
    </row>
    <row r="993" ht="36.75" customHeight="1">
      <c r="A993" s="242"/>
      <c r="B993" s="242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  <c r="Z993" s="242"/>
    </row>
    <row r="994" ht="36.75" customHeight="1">
      <c r="A994" s="242"/>
      <c r="B994" s="242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  <c r="Z994" s="242"/>
    </row>
    <row r="995" ht="36.75" customHeight="1">
      <c r="A995" s="242"/>
      <c r="B995" s="242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  <c r="Y995" s="242"/>
      <c r="Z995" s="242"/>
    </row>
    <row r="996" ht="36.75" customHeight="1">
      <c r="A996" s="242"/>
      <c r="B996" s="242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  <c r="Y996" s="242"/>
      <c r="Z996" s="242"/>
    </row>
    <row r="997" ht="36.75" customHeight="1">
      <c r="A997" s="242"/>
      <c r="B997" s="242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  <c r="Y997" s="242"/>
      <c r="Z997" s="242"/>
    </row>
    <row r="998" ht="36.75" customHeight="1">
      <c r="A998" s="242"/>
      <c r="B998" s="242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  <c r="Y998" s="242"/>
      <c r="Z998" s="242"/>
    </row>
    <row r="999" ht="36.75" customHeight="1">
      <c r="A999" s="242"/>
      <c r="B999" s="242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  <c r="Y999" s="242"/>
      <c r="Z999" s="242"/>
    </row>
    <row r="1000" ht="36.75" customHeight="1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  <c r="Y1000" s="242"/>
      <c r="Z1000" s="242"/>
    </row>
  </sheetData>
  <mergeCells count="1">
    <mergeCell ref="A1:B1"/>
  </mergeCells>
  <drawing r:id="rId1"/>
</worksheet>
</file>